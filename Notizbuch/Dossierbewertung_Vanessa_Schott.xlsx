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S:\HSI\A2462_DS\A2462_Administration\Studierende\SJG26_HS_Studierende\Schott Vanessa\Dossier\"/>
    </mc:Choice>
  </mc:AlternateContent>
  <xr:revisionPtr revIDLastSave="0" documentId="13_ncr:1_{7ADB6A4B-775F-4E5F-A3FE-FD9AAAF4881E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Dossierbewertung" sheetId="2" r:id="rId1"/>
  </sheets>
  <definedNames>
    <definedName name="_xlnm.Print_Area" localSheetId="0">Dossierbewertung!$A$1:$O$107</definedName>
    <definedName name="h" localSheetId="0">Dossierbewertung!#REF!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107" i="2" l="1"/>
  <c r="M107" i="2"/>
</calcChain>
</file>

<file path=xl/sharedStrings.xml><?xml version="1.0" encoding="utf-8"?>
<sst xmlns="http://schemas.openxmlformats.org/spreadsheetml/2006/main" count="503" uniqueCount="226">
  <si>
    <t>mag</t>
  </si>
  <si>
    <t>Mathematische Grundlagen</t>
  </si>
  <si>
    <t>gan</t>
  </si>
  <si>
    <t>vta</t>
  </si>
  <si>
    <t>Vertiefende Themen der Analysis</t>
  </si>
  <si>
    <t>gla</t>
  </si>
  <si>
    <t>ala</t>
  </si>
  <si>
    <t>oml</t>
  </si>
  <si>
    <t>Optimierung für Machine Learning</t>
  </si>
  <si>
    <t>eda</t>
  </si>
  <si>
    <t>Explorative Datenanalyse</t>
  </si>
  <si>
    <t>wer</t>
  </si>
  <si>
    <t>Wahrscheinlichkeitsrechnen</t>
  </si>
  <si>
    <t>bda</t>
  </si>
  <si>
    <t>git</t>
  </si>
  <si>
    <t>Grundkompetenz IT</t>
  </si>
  <si>
    <t>sko</t>
  </si>
  <si>
    <t>Softwarekonstruktion</t>
  </si>
  <si>
    <t>gdb</t>
  </si>
  <si>
    <t>ddi</t>
  </si>
  <si>
    <t>Datenbankdesign und Implementierung</t>
  </si>
  <si>
    <t>daw</t>
  </si>
  <si>
    <t>Data Wrangling</t>
  </si>
  <si>
    <t>idb</t>
  </si>
  <si>
    <t>hpc</t>
  </si>
  <si>
    <t>High Performance Computing</t>
  </si>
  <si>
    <t>cic</t>
  </si>
  <si>
    <t>Cloud Infrastructure and Computing</t>
  </si>
  <si>
    <t>del</t>
  </si>
  <si>
    <t>Deep Learning</t>
  </si>
  <si>
    <t>rle</t>
  </si>
  <si>
    <t>Reinforcement Learning</t>
  </si>
  <si>
    <t>gds</t>
  </si>
  <si>
    <t>Grundverständnis Data Science</t>
  </si>
  <si>
    <t>npr</t>
  </si>
  <si>
    <t>gdv</t>
  </si>
  <si>
    <t>Grundkompetenz Datenvisualisierung</t>
  </si>
  <si>
    <t>ivi</t>
  </si>
  <si>
    <t>Interaktive Visualisierung</t>
  </si>
  <si>
    <t>van</t>
  </si>
  <si>
    <t>Visual Analytics</t>
  </si>
  <si>
    <t>bwg</t>
  </si>
  <si>
    <t>Betriebswirtschaftliche Grundkompetenz</t>
  </si>
  <si>
    <t>dgm</t>
  </si>
  <si>
    <t>Datengestützte Geschäftsmodelle</t>
  </si>
  <si>
    <t>ire</t>
  </si>
  <si>
    <t>Informatikrecht</t>
  </si>
  <si>
    <t>gua</t>
  </si>
  <si>
    <t xml:space="preserve">dre </t>
  </si>
  <si>
    <t>Datenrecht</t>
  </si>
  <si>
    <t>ere</t>
  </si>
  <si>
    <t>Ethisches Reflektieren</t>
  </si>
  <si>
    <t>eim</t>
  </si>
  <si>
    <t>Ethisches Implementieren</t>
  </si>
  <si>
    <t>iko</t>
  </si>
  <si>
    <t>Interkulturelle Kompetenz</t>
  </si>
  <si>
    <t>pgk</t>
  </si>
  <si>
    <t>Politik, Geschichte, Kultur</t>
  </si>
  <si>
    <t>ink</t>
  </si>
  <si>
    <t>Informationskompetenz</t>
  </si>
  <si>
    <t>wiv</t>
  </si>
  <si>
    <t>Wissenschaftliches Vorgehen</t>
  </si>
  <si>
    <t>pwm</t>
  </si>
  <si>
    <t>Persönliches Wissensmanagement</t>
  </si>
  <si>
    <t>dpo</t>
  </si>
  <si>
    <t>Digitales Portfolio</t>
  </si>
  <si>
    <t>std</t>
  </si>
  <si>
    <t>Storytelling mit Daten</t>
  </si>
  <si>
    <t>pra</t>
  </si>
  <si>
    <t>Präsentieren</t>
  </si>
  <si>
    <t>dko</t>
  </si>
  <si>
    <t>Digital kommunizieren</t>
  </si>
  <si>
    <t>kit</t>
  </si>
  <si>
    <t>Kollaboration in Teams</t>
  </si>
  <si>
    <t>spz</t>
  </si>
  <si>
    <t>Stochastische Prozesse und Zeitreihen</t>
  </si>
  <si>
    <t>stl</t>
  </si>
  <si>
    <t>Statistisches Lernen</t>
  </si>
  <si>
    <t>gpr</t>
  </si>
  <si>
    <t>Grundkompetenz Programmieren</t>
  </si>
  <si>
    <t>wet</t>
  </si>
  <si>
    <t>Webtechnologien</t>
  </si>
  <si>
    <t>ofp</t>
  </si>
  <si>
    <t>Digital Entrepreneurship &amp; Innovation</t>
  </si>
  <si>
    <t>dei</t>
  </si>
  <si>
    <t>lwk</t>
  </si>
  <si>
    <t>Lernwerkstatt</t>
  </si>
  <si>
    <t>Grundkompetenz Schreiben</t>
  </si>
  <si>
    <t>Vertiefung Schreiben</t>
  </si>
  <si>
    <t>gsr</t>
  </si>
  <si>
    <t>vsr</t>
  </si>
  <si>
    <t>Grundlagen der Linearen Algebra</t>
  </si>
  <si>
    <t>Anwendungen der Linearen Algebra</t>
  </si>
  <si>
    <t>Objektorientiert und Funktional Programmieren</t>
  </si>
  <si>
    <t>Modulgruppe</t>
  </si>
  <si>
    <t>Anspruchsniveau</t>
  </si>
  <si>
    <t>Basic</t>
  </si>
  <si>
    <t>Intermediate</t>
  </si>
  <si>
    <t>Advanced</t>
  </si>
  <si>
    <t>Basismodul</t>
  </si>
  <si>
    <t>Portfoliomodul</t>
  </si>
  <si>
    <t>Projektmodul</t>
  </si>
  <si>
    <t>Legende:</t>
  </si>
  <si>
    <r>
      <rPr>
        <sz val="16"/>
        <rFont val="Calibri"/>
        <family val="2"/>
        <scheme val="minor"/>
      </rPr>
      <t>MG 1</t>
    </r>
    <r>
      <rPr>
        <b/>
        <sz val="16"/>
        <rFont val="Calibri"/>
        <family val="2"/>
        <scheme val="minor"/>
      </rPr>
      <t xml:space="preserve">
Mathematische Kompetenzen</t>
    </r>
    <r>
      <rPr>
        <b/>
        <i/>
        <sz val="16"/>
        <rFont val="Calibri"/>
        <family val="2"/>
        <scheme val="minor"/>
      </rPr>
      <t xml:space="preserve">
</t>
    </r>
    <r>
      <rPr>
        <i/>
        <sz val="16"/>
        <rFont val="Calibri"/>
        <family val="2"/>
        <scheme val="minor"/>
      </rPr>
      <t>mind. Credits: 12</t>
    </r>
  </si>
  <si>
    <r>
      <rPr>
        <sz val="16"/>
        <rFont val="Calibri"/>
        <family val="2"/>
        <scheme val="minor"/>
      </rPr>
      <t>MG 2</t>
    </r>
    <r>
      <rPr>
        <b/>
        <sz val="16"/>
        <rFont val="Calibri"/>
        <family val="2"/>
        <scheme val="minor"/>
      </rPr>
      <t xml:space="preserve">
Datenanalyse</t>
    </r>
    <r>
      <rPr>
        <b/>
        <i/>
        <sz val="16"/>
        <rFont val="Calibri"/>
        <family val="2"/>
        <scheme val="minor"/>
      </rPr>
      <t xml:space="preserve">
</t>
    </r>
    <r>
      <rPr>
        <i/>
        <sz val="16"/>
        <rFont val="Calibri"/>
        <family val="2"/>
        <scheme val="minor"/>
      </rPr>
      <t>mind. Credits: 15</t>
    </r>
  </si>
  <si>
    <r>
      <rPr>
        <sz val="16"/>
        <rFont val="Calibri"/>
        <family val="2"/>
        <scheme val="minor"/>
      </rPr>
      <t>MG 4</t>
    </r>
    <r>
      <rPr>
        <b/>
        <sz val="16"/>
        <rFont val="Calibri"/>
        <family val="2"/>
        <scheme val="minor"/>
      </rPr>
      <t xml:space="preserve">
Datenverarbeitung &amp; Infrastruktur</t>
    </r>
    <r>
      <rPr>
        <b/>
        <i/>
        <sz val="16"/>
        <rFont val="Calibri"/>
        <family val="2"/>
        <scheme val="minor"/>
      </rPr>
      <t xml:space="preserve">
</t>
    </r>
    <r>
      <rPr>
        <i/>
        <sz val="16"/>
        <rFont val="Calibri"/>
        <family val="2"/>
        <scheme val="minor"/>
      </rPr>
      <t>mind. Credits: 12</t>
    </r>
  </si>
  <si>
    <r>
      <rPr>
        <sz val="16"/>
        <rFont val="Calibri"/>
        <family val="2"/>
        <scheme val="minor"/>
      </rPr>
      <t>MG 6</t>
    </r>
    <r>
      <rPr>
        <b/>
        <sz val="16"/>
        <rFont val="Calibri"/>
        <family val="2"/>
        <scheme val="minor"/>
      </rPr>
      <t xml:space="preserve">
Angewandte Data Science</t>
    </r>
    <r>
      <rPr>
        <b/>
        <i/>
        <sz val="16"/>
        <rFont val="Calibri"/>
        <family val="2"/>
        <scheme val="minor"/>
      </rPr>
      <t xml:space="preserve">
</t>
    </r>
    <r>
      <rPr>
        <i/>
        <sz val="16"/>
        <rFont val="Calibri"/>
        <family val="2"/>
        <scheme val="minor"/>
      </rPr>
      <t>mind. Credits: 11</t>
    </r>
  </si>
  <si>
    <r>
      <rPr>
        <sz val="16"/>
        <rFont val="Calibri"/>
        <family val="2"/>
        <scheme val="minor"/>
      </rPr>
      <t>MG 9</t>
    </r>
    <r>
      <rPr>
        <b/>
        <sz val="16"/>
        <rFont val="Calibri"/>
        <family val="2"/>
        <scheme val="minor"/>
      </rPr>
      <t xml:space="preserve">
Geistes- und Wirtschaftswissenschaften</t>
    </r>
    <r>
      <rPr>
        <b/>
        <i/>
        <sz val="16"/>
        <color rgb="FFFF0000"/>
        <rFont val="Calibri"/>
        <family val="2"/>
        <scheme val="minor"/>
      </rPr>
      <t xml:space="preserve">
</t>
    </r>
    <r>
      <rPr>
        <i/>
        <sz val="16"/>
        <rFont val="Calibri"/>
        <family val="2"/>
        <scheme val="minor"/>
      </rPr>
      <t>mind. Credits: 14</t>
    </r>
  </si>
  <si>
    <r>
      <rPr>
        <sz val="16"/>
        <rFont val="Calibri"/>
        <family val="2"/>
        <scheme val="minor"/>
      </rPr>
      <t>MG 10</t>
    </r>
    <r>
      <rPr>
        <b/>
        <sz val="16"/>
        <rFont val="Calibri"/>
        <family val="2"/>
        <scheme val="minor"/>
      </rPr>
      <t xml:space="preserve">
Arbeitsweltkompetenz</t>
    </r>
    <r>
      <rPr>
        <b/>
        <sz val="16"/>
        <color rgb="FFFF0000"/>
        <rFont val="Calibri"/>
        <family val="2"/>
        <scheme val="minor"/>
      </rPr>
      <t xml:space="preserve">
</t>
    </r>
    <r>
      <rPr>
        <i/>
        <sz val="16"/>
        <rFont val="Calibri"/>
        <family val="2"/>
        <scheme val="minor"/>
      </rPr>
      <t>mind. Credits: 10</t>
    </r>
  </si>
  <si>
    <t>Anrechnung</t>
  </si>
  <si>
    <t>Begründung</t>
  </si>
  <si>
    <t>Dossierbewertung</t>
  </si>
  <si>
    <t xml:space="preserve"> -</t>
  </si>
  <si>
    <t xml:space="preserve"> - </t>
  </si>
  <si>
    <t>pro1D</t>
  </si>
  <si>
    <t>pro2D</t>
  </si>
  <si>
    <t>pro3D</t>
  </si>
  <si>
    <t>pro4D</t>
  </si>
  <si>
    <t>pro5D</t>
  </si>
  <si>
    <t>Projekt 1 Data Science</t>
  </si>
  <si>
    <t>Projekt 2 Data Science</t>
  </si>
  <si>
    <t>Projekt 3 Data Science</t>
  </si>
  <si>
    <t>Projekt 4 Data Science</t>
  </si>
  <si>
    <t>Projekt 5 Data Science</t>
  </si>
  <si>
    <r>
      <rPr>
        <sz val="16"/>
        <rFont val="Calibri"/>
        <family val="2"/>
        <scheme val="minor"/>
      </rPr>
      <t>MG 11</t>
    </r>
    <r>
      <rPr>
        <b/>
        <sz val="16"/>
        <rFont val="Calibri"/>
        <family val="2"/>
        <scheme val="minor"/>
      </rPr>
      <t xml:space="preserve">
Projekte
</t>
    </r>
    <r>
      <rPr>
        <i/>
        <sz val="16"/>
        <rFont val="Calibri"/>
        <family val="2"/>
        <scheme val="minor"/>
      </rPr>
      <t>mind. Credits: 42</t>
    </r>
  </si>
  <si>
    <t>Grundkompetenz Machine Learning</t>
  </si>
  <si>
    <t>Programmieren in R</t>
  </si>
  <si>
    <t>pro3I</t>
  </si>
  <si>
    <t>pro4I</t>
  </si>
  <si>
    <t>Projekt 3 Informatik</t>
  </si>
  <si>
    <t>Projekt 4 Informatik</t>
  </si>
  <si>
    <t>prr</t>
  </si>
  <si>
    <t>gml</t>
  </si>
  <si>
    <t>Freie Credits</t>
  </si>
  <si>
    <r>
      <rPr>
        <sz val="16"/>
        <rFont val="Calibri"/>
        <family val="2"/>
        <scheme val="minor"/>
      </rPr>
      <t>MG 5</t>
    </r>
    <r>
      <rPr>
        <b/>
        <sz val="16"/>
        <rFont val="Calibri"/>
        <family val="2"/>
        <scheme val="minor"/>
      </rPr>
      <t xml:space="preserve">
Machine Learning</t>
    </r>
    <r>
      <rPr>
        <b/>
        <i/>
        <sz val="16"/>
        <rFont val="Calibri"/>
        <family val="2"/>
        <scheme val="minor"/>
      </rPr>
      <t xml:space="preserve">
</t>
    </r>
    <r>
      <rPr>
        <i/>
        <sz val="16"/>
        <rFont val="Calibri"/>
        <family val="2"/>
        <scheme val="minor"/>
      </rPr>
      <t>mind. Credits: 7</t>
    </r>
  </si>
  <si>
    <t>Kürzel</t>
  </si>
  <si>
    <t>Titel</t>
  </si>
  <si>
    <t>Grundlagen der Analysis</t>
  </si>
  <si>
    <t>Space</t>
  </si>
  <si>
    <t>Modulbeschreibung</t>
  </si>
  <si>
    <t>Bayes'sche Datenanalyse</t>
  </si>
  <si>
    <t>Grundkompetenz Datenbanken</t>
  </si>
  <si>
    <t>IoT Datenbeschaffung</t>
  </si>
  <si>
    <t>Gesllschaft und Algorithmen</t>
  </si>
  <si>
    <t>Auf Modulgruppe MG 9</t>
  </si>
  <si>
    <t>Auf Modulgruppe MG 3</t>
  </si>
  <si>
    <t>Auf Modulgruppe MG 2</t>
  </si>
  <si>
    <t>Auf Modulgruppe MG 5</t>
  </si>
  <si>
    <t>Auf Modulgruppe MG 6</t>
  </si>
  <si>
    <t>Auf Modulgruppe MG 7</t>
  </si>
  <si>
    <t>Auf Modulgruppe MG 8</t>
  </si>
  <si>
    <t>Auf Modulgruppe MG 10</t>
  </si>
  <si>
    <t>Auf Modulgruppe MG 11</t>
  </si>
  <si>
    <t>Auf Modulgruppe MG 4</t>
  </si>
  <si>
    <t>Auf Modulgruppe MG 1</t>
  </si>
  <si>
    <r>
      <rPr>
        <sz val="16"/>
        <rFont val="Calibri"/>
        <family val="2"/>
        <scheme val="minor"/>
      </rPr>
      <t>MG 7</t>
    </r>
    <r>
      <rPr>
        <b/>
        <sz val="16"/>
        <rFont val="Calibri"/>
        <family val="2"/>
        <scheme val="minor"/>
      </rPr>
      <t xml:space="preserve">
Datenvisualisierung</t>
    </r>
    <r>
      <rPr>
        <b/>
        <i/>
        <sz val="16"/>
        <rFont val="Calibri"/>
        <family val="2"/>
        <scheme val="minor"/>
      </rPr>
      <t xml:space="preserve">
</t>
    </r>
    <r>
      <rPr>
        <i/>
        <sz val="16"/>
        <rFont val="Calibri"/>
        <family val="2"/>
        <scheme val="minor"/>
      </rPr>
      <t>mind. Credits: 4</t>
    </r>
  </si>
  <si>
    <t>Natural Language Processing</t>
  </si>
  <si>
    <t>gbsv</t>
  </si>
  <si>
    <t>Grundlagen der Bild- und Signalverarbeitung</t>
  </si>
  <si>
    <t>aml</t>
  </si>
  <si>
    <t>Angewandtes Machine Learning</t>
  </si>
  <si>
    <t>dlbs</t>
  </si>
  <si>
    <t>Deep Learning auf Bild und Signal</t>
  </si>
  <si>
    <t>smg</t>
  </si>
  <si>
    <t>Selbstmanagement</t>
  </si>
  <si>
    <t>lds</t>
  </si>
  <si>
    <t>Leadership</t>
  </si>
  <si>
    <t>Wirkungsvoll Argumentieren</t>
  </si>
  <si>
    <t>Laufbahn Aktiv Gestalten</t>
  </si>
  <si>
    <t>Design Thinking für Data Scientists</t>
  </si>
  <si>
    <t>wiar</t>
  </si>
  <si>
    <t>dtds</t>
  </si>
  <si>
    <t>lage</t>
  </si>
  <si>
    <t>Total angerechnete Credits</t>
  </si>
  <si>
    <t>Credits</t>
  </si>
  <si>
    <t>vdl</t>
  </si>
  <si>
    <t>eai</t>
  </si>
  <si>
    <t>Explainable AI</t>
  </si>
  <si>
    <t>Vertiefung Deep Learning</t>
  </si>
  <si>
    <t>Gesellschaftliche Auswirkungen von KI-Design</t>
  </si>
  <si>
    <t>prax1</t>
  </si>
  <si>
    <t>prax2</t>
  </si>
  <si>
    <t>Praxisprojekt 1</t>
  </si>
  <si>
    <t>Praxisprojekt 2</t>
  </si>
  <si>
    <t>kip</t>
  </si>
  <si>
    <t>mss</t>
  </si>
  <si>
    <t>ngs</t>
  </si>
  <si>
    <t>col</t>
  </si>
  <si>
    <t>Modellierung und Simulation komplexer Systeme</t>
  </si>
  <si>
    <t>Nachhaltige Gestaltung datengetriebener Systeme</t>
  </si>
  <si>
    <t>hpcp</t>
  </si>
  <si>
    <t>gki</t>
  </si>
  <si>
    <t>ealg</t>
  </si>
  <si>
    <t>Effiziente Algorithmen</t>
  </si>
  <si>
    <t>koma</t>
  </si>
  <si>
    <t>Konvergenz Mathematik</t>
  </si>
  <si>
    <t>lire</t>
  </si>
  <si>
    <t>Lineare Regression</t>
  </si>
  <si>
    <t>cth</t>
  </si>
  <si>
    <t>Computational Thinking</t>
  </si>
  <si>
    <t>KI-gestütztes Programmieren</t>
  </si>
  <si>
    <r>
      <rPr>
        <sz val="16"/>
        <rFont val="Calibri"/>
        <family val="2"/>
        <scheme val="minor"/>
      </rPr>
      <t>MG 3</t>
    </r>
    <r>
      <rPr>
        <b/>
        <sz val="16"/>
        <rFont val="Calibri"/>
        <family val="2"/>
        <scheme val="minor"/>
      </rPr>
      <t xml:space="preserve">
Informatik &amp; Programmierung</t>
    </r>
    <r>
      <rPr>
        <b/>
        <i/>
        <sz val="16"/>
        <rFont val="Calibri"/>
        <family val="2"/>
        <scheme val="minor"/>
      </rPr>
      <t xml:space="preserve">
</t>
    </r>
    <r>
      <rPr>
        <i/>
        <sz val="16"/>
        <rFont val="Calibri"/>
        <family val="2"/>
        <scheme val="minor"/>
      </rPr>
      <t>mind. Credits: 10</t>
    </r>
  </si>
  <si>
    <t>dae</t>
  </si>
  <si>
    <t>Data Engineering</t>
  </si>
  <si>
    <t>High-Performance Computing in Practice</t>
  </si>
  <si>
    <t>CoLab</t>
  </si>
  <si>
    <t>Blockmodul</t>
  </si>
  <si>
    <t>Master of Business and Economics @Unibas, CAS DE @FHNW</t>
  </si>
  <si>
    <t>Vanessa Schott</t>
  </si>
  <si>
    <t>Mathematik II -&gt; prüfen, da lange her</t>
  </si>
  <si>
    <t>Datenbanken und Data Warehouse, CAS DE</t>
  </si>
  <si>
    <t>Data Science Basics, CAS DE</t>
  </si>
  <si>
    <t>Data Wrangling, CAS DE</t>
  </si>
  <si>
    <t>Software Engineering in Python, CAS DE</t>
  </si>
  <si>
    <t>Big Data, CAS DE &amp; Machine Learning in Production, CAS DE</t>
  </si>
  <si>
    <t>Einführung in die Betriebswirtschaftslehre</t>
  </si>
  <si>
    <t>Investitions- und Unternehmensbewertung</t>
  </si>
  <si>
    <t>Entscheidung unter Unsicherheit, Statistik</t>
  </si>
  <si>
    <t>Principled Leadership</t>
  </si>
  <si>
    <t>Master Wirtschaft</t>
  </si>
  <si>
    <t>Masterarbeit</t>
  </si>
  <si>
    <t>Organisation und Human Resource Management</t>
  </si>
  <si>
    <t>weitere Wirtschaftsmodule</t>
  </si>
  <si>
    <t>Time Series Analysis I</t>
  </si>
  <si>
    <t>Uni Auslandprogramm</t>
  </si>
  <si>
    <r>
      <rPr>
        <sz val="16"/>
        <rFont val="Calibri"/>
        <family val="2"/>
        <scheme val="minor"/>
      </rPr>
      <t>MG 8</t>
    </r>
    <r>
      <rPr>
        <b/>
        <sz val="16"/>
        <rFont val="Calibri"/>
        <family val="2"/>
        <scheme val="minor"/>
      </rPr>
      <t xml:space="preserve">
Kommunikation
</t>
    </r>
    <r>
      <rPr>
        <i/>
        <sz val="16"/>
        <rFont val="Calibri"/>
        <family val="2"/>
        <scheme val="minor"/>
      </rPr>
      <t>mind. Credit: 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</si>
</sst>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name val="Arial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32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4"/>
      <name val="Calibri"/>
      <family val="2"/>
      <scheme val="minor"/>
    </font>
    <font>
      <u/>
      <sz val="10"/>
      <color theme="10"/>
      <name val="Arial"/>
      <family val="2"/>
    </font>
    <font>
      <b/>
      <sz val="14"/>
      <name val="Calibri"/>
      <family val="2"/>
      <scheme val="minor"/>
    </font>
    <font>
      <sz val="14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b/>
      <i/>
      <sz val="16"/>
      <name val="Calibri"/>
      <family val="2"/>
      <scheme val="minor"/>
    </font>
    <font>
      <i/>
      <sz val="16"/>
      <name val="Calibri"/>
      <family val="2"/>
      <scheme val="minor"/>
    </font>
    <font>
      <u/>
      <sz val="16"/>
      <color theme="1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6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32"/>
      <name val="Calibri"/>
      <family val="2"/>
      <scheme val="minor"/>
    </font>
    <font>
      <b/>
      <sz val="10"/>
      <name val="Calibri"/>
      <family val="2"/>
      <scheme val="minor"/>
    </font>
    <font>
      <sz val="28"/>
      <name val="Calibri"/>
      <family val="2"/>
      <scheme val="minor"/>
    </font>
    <font>
      <b/>
      <sz val="28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66CCFF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437FF"/>
        <bgColor indexed="64"/>
      </patternFill>
    </fill>
    <fill>
      <patternFill patternType="solid">
        <fgColor theme="9" tint="0.59999389629810485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0" fontId="24" fillId="0" borderId="0"/>
  </cellStyleXfs>
  <cellXfs count="167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0" fontId="6" fillId="0" borderId="0" xfId="0" applyFont="1"/>
    <xf numFmtId="0" fontId="1" fillId="0" borderId="0" xfId="0" applyFont="1" applyAlignment="1">
      <alignment vertical="center"/>
    </xf>
    <xf numFmtId="0" fontId="15" fillId="3" borderId="1" xfId="0" applyFont="1" applyFill="1" applyBorder="1" applyAlignment="1">
      <alignment horizontal="center" vertical="center" wrapText="1"/>
    </xf>
    <xf numFmtId="0" fontId="5" fillId="0" borderId="4" xfId="0" applyFont="1" applyBorder="1"/>
    <xf numFmtId="0" fontId="15" fillId="3" borderId="3" xfId="0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6" fillId="2" borderId="0" xfId="0" applyFont="1" applyFill="1" applyAlignment="1">
      <alignment vertical="center"/>
    </xf>
    <xf numFmtId="0" fontId="9" fillId="3" borderId="0" xfId="0" applyFont="1" applyFill="1" applyAlignment="1">
      <alignment vertical="center"/>
    </xf>
    <xf numFmtId="0" fontId="9" fillId="4" borderId="0" xfId="0" applyFont="1" applyFill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4" fillId="0" borderId="0" xfId="1" applyFont="1" applyFill="1" applyBorder="1" applyAlignment="1">
      <alignment vertical="center" wrapText="1"/>
    </xf>
    <xf numFmtId="0" fontId="15" fillId="0" borderId="0" xfId="0" applyFont="1" applyAlignment="1">
      <alignment horizontal="center" vertical="center" wrapText="1"/>
    </xf>
    <xf numFmtId="0" fontId="19" fillId="0" borderId="0" xfId="0" applyFont="1"/>
    <xf numFmtId="0" fontId="11" fillId="0" borderId="0" xfId="0" applyFont="1" applyAlignment="1">
      <alignment vertical="center"/>
    </xf>
    <xf numFmtId="0" fontId="20" fillId="5" borderId="0" xfId="0" applyFont="1" applyFill="1" applyAlignment="1">
      <alignment vertical="center"/>
    </xf>
    <xf numFmtId="0" fontId="21" fillId="5" borderId="0" xfId="0" applyFont="1" applyFill="1" applyAlignment="1">
      <alignment vertical="center"/>
    </xf>
    <xf numFmtId="0" fontId="15" fillId="4" borderId="1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9" fillId="0" borderId="8" xfId="0" applyFont="1" applyBorder="1"/>
    <xf numFmtId="0" fontId="5" fillId="0" borderId="0" xfId="1" applyFont="1" applyFill="1" applyBorder="1" applyAlignment="1">
      <alignment horizontal="left"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5" fillId="0" borderId="8" xfId="0" applyFont="1" applyBorder="1" applyAlignment="1">
      <alignment vertical="center"/>
    </xf>
    <xf numFmtId="0" fontId="5" fillId="0" borderId="18" xfId="1" applyFont="1" applyFill="1" applyBorder="1" applyAlignment="1">
      <alignment horizontal="left" vertical="center" wrapText="1"/>
    </xf>
    <xf numFmtId="0" fontId="5" fillId="0" borderId="20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9" xfId="0" applyFont="1" applyBorder="1"/>
    <xf numFmtId="0" fontId="5" fillId="0" borderId="1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/>
    </xf>
    <xf numFmtId="0" fontId="11" fillId="0" borderId="25" xfId="0" applyFont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0" fontId="11" fillId="0" borderId="2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5" fillId="0" borderId="27" xfId="1" applyFont="1" applyFill="1" applyBorder="1" applyAlignment="1">
      <alignment horizontal="left" vertical="center" wrapText="1"/>
    </xf>
    <xf numFmtId="0" fontId="14" fillId="0" borderId="17" xfId="1" applyFont="1" applyFill="1" applyBorder="1" applyAlignment="1">
      <alignment vertical="center"/>
    </xf>
    <xf numFmtId="0" fontId="14" fillId="0" borderId="18" xfId="1" applyFont="1" applyFill="1" applyBorder="1" applyAlignment="1">
      <alignment vertical="center"/>
    </xf>
    <xf numFmtId="0" fontId="15" fillId="3" borderId="29" xfId="0" applyFont="1" applyFill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/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11" fillId="0" borderId="10" xfId="0" applyFont="1" applyBorder="1" applyAlignment="1">
      <alignment horizontal="center" vertical="center" wrapText="1"/>
    </xf>
    <xf numFmtId="14" fontId="20" fillId="5" borderId="0" xfId="0" applyNumberFormat="1" applyFont="1" applyFill="1" applyAlignment="1">
      <alignment horizontal="left" vertical="center"/>
    </xf>
    <xf numFmtId="0" fontId="5" fillId="0" borderId="6" xfId="0" quotePrefix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26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3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2" fillId="5" borderId="10" xfId="0" applyFont="1" applyFill="1" applyBorder="1" applyAlignment="1">
      <alignment horizontal="center" vertical="center"/>
    </xf>
    <xf numFmtId="0" fontId="14" fillId="0" borderId="34" xfId="1" applyFont="1" applyFill="1" applyBorder="1" applyAlignment="1">
      <alignment horizontal="center" vertical="center" wrapText="1"/>
    </xf>
    <xf numFmtId="0" fontId="14" fillId="0" borderId="35" xfId="1" applyFont="1" applyFill="1" applyBorder="1" applyAlignment="1">
      <alignment horizontal="center" vertical="center" wrapText="1"/>
    </xf>
    <xf numFmtId="0" fontId="14" fillId="0" borderId="36" xfId="1" applyFont="1" applyFill="1" applyBorder="1" applyAlignment="1">
      <alignment horizontal="center" vertical="center" wrapText="1"/>
    </xf>
    <xf numFmtId="0" fontId="5" fillId="0" borderId="38" xfId="0" applyFont="1" applyBorder="1"/>
    <xf numFmtId="0" fontId="14" fillId="0" borderId="39" xfId="1" applyFont="1" applyFill="1" applyBorder="1" applyAlignment="1">
      <alignment horizontal="center" vertical="center"/>
    </xf>
    <xf numFmtId="0" fontId="14" fillId="0" borderId="35" xfId="1" applyFont="1" applyFill="1" applyBorder="1" applyAlignment="1">
      <alignment horizontal="center" vertical="center"/>
    </xf>
    <xf numFmtId="0" fontId="14" fillId="0" borderId="39" xfId="1" applyFont="1" applyFill="1" applyBorder="1" applyAlignment="1">
      <alignment horizontal="center" vertical="center" wrapText="1"/>
    </xf>
    <xf numFmtId="0" fontId="14" fillId="0" borderId="40" xfId="1" applyFont="1" applyFill="1" applyBorder="1" applyAlignment="1">
      <alignment horizontal="center" vertical="center" wrapText="1"/>
    </xf>
    <xf numFmtId="0" fontId="14" fillId="0" borderId="41" xfId="1" applyFont="1" applyFill="1" applyBorder="1" applyAlignment="1">
      <alignment horizontal="center" vertical="center" wrapText="1"/>
    </xf>
    <xf numFmtId="0" fontId="5" fillId="0" borderId="37" xfId="0" applyFont="1" applyBorder="1" applyAlignment="1">
      <alignment vertical="center"/>
    </xf>
    <xf numFmtId="0" fontId="15" fillId="3" borderId="5" xfId="0" applyFont="1" applyFill="1" applyBorder="1" applyAlignment="1">
      <alignment horizontal="center" vertical="center"/>
    </xf>
    <xf numFmtId="0" fontId="5" fillId="0" borderId="33" xfId="0" applyFont="1" applyBorder="1" applyAlignment="1">
      <alignment horizontal="left" vertical="center"/>
    </xf>
    <xf numFmtId="0" fontId="11" fillId="0" borderId="28" xfId="0" applyFont="1" applyBorder="1" applyAlignment="1">
      <alignment vertical="center" wrapText="1"/>
    </xf>
    <xf numFmtId="0" fontId="5" fillId="0" borderId="42" xfId="0" applyFont="1" applyBorder="1" applyAlignment="1">
      <alignment vertical="center"/>
    </xf>
    <xf numFmtId="0" fontId="11" fillId="0" borderId="4" xfId="0" applyFont="1" applyBorder="1" applyAlignment="1">
      <alignment horizontal="center" vertical="center" wrapText="1"/>
    </xf>
    <xf numFmtId="0" fontId="5" fillId="0" borderId="21" xfId="1" applyFont="1" applyFill="1" applyBorder="1" applyAlignment="1">
      <alignment horizontal="left" vertical="center" wrapText="1"/>
    </xf>
    <xf numFmtId="0" fontId="15" fillId="4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4" fontId="22" fillId="0" borderId="0" xfId="2" applyNumberFormat="1" applyFont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11" fillId="0" borderId="7" xfId="0" applyFont="1" applyBorder="1" applyAlignment="1">
      <alignment horizontal="center" vertical="center" wrapText="1"/>
    </xf>
    <xf numFmtId="0" fontId="5" fillId="0" borderId="43" xfId="0" applyFont="1" applyBorder="1" applyAlignment="1">
      <alignment vertical="center"/>
    </xf>
    <xf numFmtId="0" fontId="5" fillId="0" borderId="16" xfId="0" applyFont="1" applyBorder="1"/>
    <xf numFmtId="0" fontId="5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2" borderId="1" xfId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center" vertical="center"/>
    </xf>
    <xf numFmtId="0" fontId="14" fillId="0" borderId="44" xfId="0" applyFont="1" applyBorder="1" applyAlignment="1">
      <alignment horizontal="center" vertical="center" wrapText="1"/>
    </xf>
    <xf numFmtId="0" fontId="15" fillId="3" borderId="45" xfId="1" applyFont="1" applyFill="1" applyBorder="1" applyAlignment="1">
      <alignment horizontal="center" vertical="center"/>
    </xf>
    <xf numFmtId="0" fontId="5" fillId="0" borderId="8" xfId="0" applyFont="1" applyBorder="1"/>
    <xf numFmtId="0" fontId="11" fillId="2" borderId="5" xfId="1" applyFont="1" applyFill="1" applyBorder="1" applyAlignment="1">
      <alignment horizontal="center" vertical="center"/>
    </xf>
    <xf numFmtId="0" fontId="15" fillId="3" borderId="45" xfId="0" applyFont="1" applyFill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15" fillId="6" borderId="45" xfId="0" applyFont="1" applyFill="1" applyBorder="1" applyAlignment="1">
      <alignment horizontal="center" vertical="center"/>
    </xf>
    <xf numFmtId="0" fontId="15" fillId="3" borderId="1" xfId="1" applyFont="1" applyFill="1" applyBorder="1" applyAlignment="1">
      <alignment horizontal="center" vertical="center"/>
    </xf>
    <xf numFmtId="0" fontId="5" fillId="0" borderId="20" xfId="0" applyFont="1" applyBorder="1"/>
    <xf numFmtId="0" fontId="14" fillId="0" borderId="47" xfId="0" applyFont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0" fontId="14" fillId="0" borderId="49" xfId="0" applyFont="1" applyBorder="1" applyAlignment="1">
      <alignment horizontal="center" vertical="center" wrapText="1"/>
    </xf>
    <xf numFmtId="0" fontId="5" fillId="0" borderId="17" xfId="0" applyFont="1" applyBorder="1"/>
    <xf numFmtId="0" fontId="5" fillId="0" borderId="18" xfId="0" applyFont="1" applyBorder="1"/>
    <xf numFmtId="0" fontId="5" fillId="0" borderId="21" xfId="0" applyFont="1" applyBorder="1"/>
    <xf numFmtId="0" fontId="5" fillId="0" borderId="14" xfId="1" applyFont="1" applyFill="1" applyBorder="1" applyAlignment="1">
      <alignment horizontal="left" wrapText="1"/>
    </xf>
    <xf numFmtId="0" fontId="5" fillId="0" borderId="19" xfId="0" applyFont="1" applyBorder="1"/>
    <xf numFmtId="0" fontId="5" fillId="0" borderId="50" xfId="1" applyFont="1" applyFill="1" applyBorder="1" applyAlignment="1">
      <alignment horizontal="left" wrapText="1"/>
    </xf>
    <xf numFmtId="0" fontId="14" fillId="0" borderId="51" xfId="0" applyFont="1" applyBorder="1" applyAlignment="1">
      <alignment horizontal="center" vertical="center" wrapText="1"/>
    </xf>
    <xf numFmtId="0" fontId="5" fillId="0" borderId="52" xfId="1" applyFont="1" applyFill="1" applyBorder="1" applyAlignment="1">
      <alignment horizontal="left" vertical="center" wrapText="1"/>
    </xf>
    <xf numFmtId="0" fontId="5" fillId="0" borderId="50" xfId="0" applyFont="1" applyBorder="1"/>
    <xf numFmtId="0" fontId="14" fillId="0" borderId="53" xfId="1" applyFont="1" applyFill="1" applyBorder="1" applyAlignment="1">
      <alignment horizontal="center" vertical="center" wrapText="1"/>
    </xf>
    <xf numFmtId="0" fontId="4" fillId="0" borderId="17" xfId="0" applyFont="1" applyBorder="1"/>
    <xf numFmtId="0" fontId="4" fillId="0" borderId="18" xfId="0" applyFont="1" applyBorder="1"/>
    <xf numFmtId="0" fontId="14" fillId="0" borderId="16" xfId="1" applyFont="1" applyFill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14" fillId="0" borderId="54" xfId="1" applyFont="1" applyFill="1" applyBorder="1" applyAlignment="1">
      <alignment horizontal="center" vertical="center" wrapText="1"/>
    </xf>
    <xf numFmtId="0" fontId="14" fillId="0" borderId="54" xfId="1" applyFont="1" applyFill="1" applyBorder="1" applyAlignment="1">
      <alignment horizontal="center" vertical="center"/>
    </xf>
    <xf numFmtId="0" fontId="14" fillId="0" borderId="46" xfId="1" applyFont="1" applyFill="1" applyBorder="1" applyAlignment="1">
      <alignment horizontal="center" vertical="center" wrapText="1"/>
    </xf>
    <xf numFmtId="0" fontId="14" fillId="0" borderId="56" xfId="1" applyFont="1" applyFill="1" applyBorder="1" applyAlignment="1">
      <alignment horizontal="center" vertical="center" wrapText="1"/>
    </xf>
    <xf numFmtId="0" fontId="14" fillId="0" borderId="50" xfId="1" applyFont="1" applyFill="1" applyBorder="1" applyAlignment="1">
      <alignment vertical="center"/>
    </xf>
    <xf numFmtId="0" fontId="9" fillId="6" borderId="0" xfId="0" applyFont="1" applyFill="1" applyAlignment="1">
      <alignment vertical="center"/>
    </xf>
    <xf numFmtId="0" fontId="5" fillId="7" borderId="55" xfId="0" applyFont="1" applyFill="1" applyBorder="1" applyAlignment="1">
      <alignment horizontal="center" vertical="center"/>
    </xf>
    <xf numFmtId="0" fontId="22" fillId="5" borderId="22" xfId="0" applyFont="1" applyFill="1" applyBorder="1" applyAlignment="1">
      <alignment horizontal="center" vertical="center"/>
    </xf>
    <xf numFmtId="0" fontId="22" fillId="5" borderId="23" xfId="0" applyFont="1" applyFill="1" applyBorder="1" applyAlignment="1">
      <alignment horizontal="center" vertical="center"/>
    </xf>
    <xf numFmtId="0" fontId="22" fillId="5" borderId="24" xfId="0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11" fillId="0" borderId="2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57" xfId="0" applyFont="1" applyBorder="1" applyAlignment="1">
      <alignment horizontal="center" vertical="center" wrapText="1"/>
    </xf>
  </cellXfs>
  <cellStyles count="3">
    <cellStyle name="Link" xfId="1" builtinId="8"/>
    <cellStyle name="Standard" xfId="0" builtinId="0"/>
    <cellStyle name="Standard 2" xfId="2" xr:uid="{6699932A-E5B8-4054-9091-1884DC3EA8C3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00"/>
      <color rgb="FF3366FF"/>
      <color rgb="FFFFFFCC"/>
      <color rgb="FFEBF1DE"/>
      <color rgb="FF006699"/>
      <color rgb="FF000066"/>
      <color rgb="FF66CCFF"/>
      <color rgb="FF0066FF"/>
      <color rgb="FFFF33CC"/>
      <color rgb="FF01A1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hnw.ch/de/studium/module/9316527" TargetMode="External"/><Relationship Id="rId21" Type="http://schemas.openxmlformats.org/officeDocument/2006/relationships/hyperlink" Target="https://spaces.informatik.fhnw.ch/spaces/deep-learning" TargetMode="External"/><Relationship Id="rId42" Type="http://schemas.openxmlformats.org/officeDocument/2006/relationships/hyperlink" Target="https://www.fhnw.ch/de/studium/module/9732630" TargetMode="External"/><Relationship Id="rId63" Type="http://schemas.openxmlformats.org/officeDocument/2006/relationships/hyperlink" Target="https://spaces.informatik.fhnw.ch/spaces/konvergenz-mathematik" TargetMode="External"/><Relationship Id="rId84" Type="http://schemas.openxmlformats.org/officeDocument/2006/relationships/hyperlink" Target="https://spaces.informatik.fhnw.ch/spaces/programmieren-in-r" TargetMode="External"/><Relationship Id="rId138" Type="http://schemas.openxmlformats.org/officeDocument/2006/relationships/hyperlink" Target="https://spaces.informatik.fhnw.ch/spaces/betriebswirtschaftliche-grundkompetenz" TargetMode="External"/><Relationship Id="rId159" Type="http://schemas.openxmlformats.org/officeDocument/2006/relationships/vmlDrawing" Target="../drawings/vmlDrawing1.vml"/><Relationship Id="rId107" Type="http://schemas.openxmlformats.org/officeDocument/2006/relationships/hyperlink" Target="https://spaces.informatik.fhnw.ch/spaces/iot-data-collection" TargetMode="External"/><Relationship Id="rId11" Type="http://schemas.openxmlformats.org/officeDocument/2006/relationships/hyperlink" Target="https://www.fhnw.ch/de/studium/module/9316514" TargetMode="External"/><Relationship Id="rId32" Type="http://schemas.openxmlformats.org/officeDocument/2006/relationships/hyperlink" Target="https://spaces.informatik.fhnw.ch/spaces/storytelling-with-data" TargetMode="External"/><Relationship Id="rId53" Type="http://schemas.openxmlformats.org/officeDocument/2006/relationships/hyperlink" Target="https://www.fhnw.ch/de/studium/module/9314649" TargetMode="External"/><Relationship Id="rId74" Type="http://schemas.openxmlformats.org/officeDocument/2006/relationships/hyperlink" Target="https://spaces.informatik.fhnw.ch/spaces/stochastische-prozesse-und-zeitreihen" TargetMode="External"/><Relationship Id="rId128" Type="http://schemas.openxmlformats.org/officeDocument/2006/relationships/hyperlink" Target="https://spaces.informatik.fhnw.ch/spaces/informationskompetenz" TargetMode="External"/><Relationship Id="rId149" Type="http://schemas.openxmlformats.org/officeDocument/2006/relationships/hyperlink" Target="https://spaces.informatik.fhnw.ch/spaces/lernwerkstatt" TargetMode="External"/><Relationship Id="rId5" Type="http://schemas.openxmlformats.org/officeDocument/2006/relationships/hyperlink" Target="https://www.fhnw.ch/de/studium/module/9370966" TargetMode="External"/><Relationship Id="rId95" Type="http://schemas.openxmlformats.org/officeDocument/2006/relationships/hyperlink" Target="https://www.fhnw.ch/de/studium/module/9316490" TargetMode="External"/><Relationship Id="rId22" Type="http://schemas.openxmlformats.org/officeDocument/2006/relationships/hyperlink" Target="https://spaces.informatik.fhnw.ch/spaces/grundkompetenz-machine-learning" TargetMode="External"/><Relationship Id="rId43" Type="http://schemas.openxmlformats.org/officeDocument/2006/relationships/hyperlink" Target="https://www.fhnw.ch/de/studium/module/9316505" TargetMode="External"/><Relationship Id="rId64" Type="http://schemas.openxmlformats.org/officeDocument/2006/relationships/hyperlink" Target="https://www.fhnw.ch/de/studium/module/9917567" TargetMode="External"/><Relationship Id="rId118" Type="http://schemas.openxmlformats.org/officeDocument/2006/relationships/hyperlink" Target="https://www.fhnw.ch/de/studium/module/9316533" TargetMode="External"/><Relationship Id="rId139" Type="http://schemas.openxmlformats.org/officeDocument/2006/relationships/hyperlink" Target="https://spaces.informatik.fhnw.ch/spaces/digital-entrepreneurship-amp-innovation" TargetMode="External"/><Relationship Id="rId80" Type="http://schemas.openxmlformats.org/officeDocument/2006/relationships/hyperlink" Target="https://www.fhnw.ch/de/studium/module/9370916" TargetMode="External"/><Relationship Id="rId85" Type="http://schemas.openxmlformats.org/officeDocument/2006/relationships/hyperlink" Target="https://spaces.informatik.fhnw.ch/spaces/ki-gestuetztes-programmieren" TargetMode="External"/><Relationship Id="rId150" Type="http://schemas.openxmlformats.org/officeDocument/2006/relationships/hyperlink" Target="https://spaces.informatik.fhnw.ch/spaces/selbstmanagement" TargetMode="External"/><Relationship Id="rId155" Type="http://schemas.openxmlformats.org/officeDocument/2006/relationships/hyperlink" Target="https://spaces.informatik.fhnw.ch/spaces/persoenliches-wissensmanagement" TargetMode="External"/><Relationship Id="rId12" Type="http://schemas.openxmlformats.org/officeDocument/2006/relationships/hyperlink" Target="https://www.fhnw.ch/de/studium/module/9370946" TargetMode="External"/><Relationship Id="rId17" Type="http://schemas.openxmlformats.org/officeDocument/2006/relationships/hyperlink" Target="https://www.fhnw.ch/de/studium/module/9370926" TargetMode="External"/><Relationship Id="rId33" Type="http://schemas.openxmlformats.org/officeDocument/2006/relationships/hyperlink" Target="https://spaces.informatik.fhnw.ch/spaces/angewandtes-machine-learning" TargetMode="External"/><Relationship Id="rId38" Type="http://schemas.openxmlformats.org/officeDocument/2006/relationships/hyperlink" Target="https://spaces.informatik.fhnw.ch/spaces/wirkungsvoll-argumentieren" TargetMode="External"/><Relationship Id="rId59" Type="http://schemas.openxmlformats.org/officeDocument/2006/relationships/hyperlink" Target="https://spaces.informatik.fhnw.ch/spaces/mathematische-grundlagen" TargetMode="External"/><Relationship Id="rId103" Type="http://schemas.openxmlformats.org/officeDocument/2006/relationships/hyperlink" Target="https://spaces.informatik.fhnw.ch/spaces/grundkompetenz-datenbanken" TargetMode="External"/><Relationship Id="rId108" Type="http://schemas.openxmlformats.org/officeDocument/2006/relationships/hyperlink" Target="https://spaces.informatik.fhnw.ch/spaces/grundlagen-der-bild-und-signalverarbeitung" TargetMode="External"/><Relationship Id="rId124" Type="http://schemas.openxmlformats.org/officeDocument/2006/relationships/hyperlink" Target="https://www.fhnw.ch/de/studium/module/9370953" TargetMode="External"/><Relationship Id="rId129" Type="http://schemas.openxmlformats.org/officeDocument/2006/relationships/hyperlink" Target="https://spaces.informatik.fhnw.ch/spaces/informatikrecht" TargetMode="External"/><Relationship Id="rId54" Type="http://schemas.openxmlformats.org/officeDocument/2006/relationships/hyperlink" Target="https://www.fhnw.ch/de/studium/module/9316472" TargetMode="External"/><Relationship Id="rId70" Type="http://schemas.openxmlformats.org/officeDocument/2006/relationships/hyperlink" Target="https://spaces.informatik.fhnw.ch/spaces/explorative-datenanalyse" TargetMode="External"/><Relationship Id="rId75" Type="http://schemas.openxmlformats.org/officeDocument/2006/relationships/hyperlink" Target="https://spaces.informatik.fhnw.ch/spaces/lineare-regression" TargetMode="External"/><Relationship Id="rId91" Type="http://schemas.openxmlformats.org/officeDocument/2006/relationships/hyperlink" Target="https://www.fhnw.ch/de/studium/module/9873738" TargetMode="External"/><Relationship Id="rId96" Type="http://schemas.openxmlformats.org/officeDocument/2006/relationships/hyperlink" Target="https://www.fhnw.ch/de/studium/module/9316492" TargetMode="External"/><Relationship Id="rId140" Type="http://schemas.openxmlformats.org/officeDocument/2006/relationships/hyperlink" Target="https://www.fhnw.ch/de/studium/module/9316544" TargetMode="External"/><Relationship Id="rId145" Type="http://schemas.openxmlformats.org/officeDocument/2006/relationships/hyperlink" Target="https://www.fhnw.ch/de/studium/module/9470882" TargetMode="External"/><Relationship Id="rId1" Type="http://schemas.openxmlformats.org/officeDocument/2006/relationships/hyperlink" Target="https://www.fhnw.ch/de/studium/module/9155714?show_language=de" TargetMode="External"/><Relationship Id="rId6" Type="http://schemas.openxmlformats.org/officeDocument/2006/relationships/hyperlink" Target="https://www.fhnw.ch/de/studium/module/9370964" TargetMode="External"/><Relationship Id="rId23" Type="http://schemas.openxmlformats.org/officeDocument/2006/relationships/hyperlink" Target="https://spaces.informatik.fhnw.ch/spaces/fortgeschrittene-themen-in-machine-learning" TargetMode="External"/><Relationship Id="rId28" Type="http://schemas.openxmlformats.org/officeDocument/2006/relationships/hyperlink" Target="https://spaces.informatik.fhnw.ch/spaces/grundkompetenz-schreiben" TargetMode="External"/><Relationship Id="rId49" Type="http://schemas.openxmlformats.org/officeDocument/2006/relationships/hyperlink" Target="https://www.fhnw.ch/de/studium/module/9580746" TargetMode="External"/><Relationship Id="rId114" Type="http://schemas.openxmlformats.org/officeDocument/2006/relationships/hyperlink" Target="https://www.fhnw.ch/de/studium/module/9821163" TargetMode="External"/><Relationship Id="rId119" Type="http://schemas.openxmlformats.org/officeDocument/2006/relationships/hyperlink" Target="https://www.fhnw.ch/de/studium/module/9314639" TargetMode="External"/><Relationship Id="rId44" Type="http://schemas.openxmlformats.org/officeDocument/2006/relationships/hyperlink" Target="https://spaces.informatik.fhnw.ch/spaces/natural-language-processing" TargetMode="External"/><Relationship Id="rId60" Type="http://schemas.openxmlformats.org/officeDocument/2006/relationships/hyperlink" Target="https://spaces.informatik.fhnw.ch/spaces/anwendungen-der-linearen-algebra" TargetMode="External"/><Relationship Id="rId65" Type="http://schemas.openxmlformats.org/officeDocument/2006/relationships/hyperlink" Target="https://www.fhnw.ch/de/studium/module/9370887" TargetMode="External"/><Relationship Id="rId81" Type="http://schemas.openxmlformats.org/officeDocument/2006/relationships/hyperlink" Target="https://www.fhnw.ch/de/studium/module/9405097" TargetMode="External"/><Relationship Id="rId86" Type="http://schemas.openxmlformats.org/officeDocument/2006/relationships/hyperlink" Target="https://spaces.informatik.fhnw.ch/spaces/objektorientiert-und-funktional-programmieren" TargetMode="External"/><Relationship Id="rId130" Type="http://schemas.openxmlformats.org/officeDocument/2006/relationships/hyperlink" Target="https://spaces.informatik.fhnw.ch/spaces/wissenschaftliches-vorgehen" TargetMode="External"/><Relationship Id="rId135" Type="http://schemas.openxmlformats.org/officeDocument/2006/relationships/hyperlink" Target="https://spaces.informatik.fhnw.ch/spaces/ethisches-implementieren" TargetMode="External"/><Relationship Id="rId151" Type="http://schemas.openxmlformats.org/officeDocument/2006/relationships/hyperlink" Target="https://spaces.informatik.fhnw.ch/spaces/digitales-portfolio" TargetMode="External"/><Relationship Id="rId156" Type="http://schemas.openxmlformats.org/officeDocument/2006/relationships/hyperlink" Target="https://spaces.informatik.fhnw.ch/spaces/leadership" TargetMode="External"/><Relationship Id="rId13" Type="http://schemas.openxmlformats.org/officeDocument/2006/relationships/hyperlink" Target="https://www.fhnw.ch/de/studium/module/9314642" TargetMode="External"/><Relationship Id="rId18" Type="http://schemas.openxmlformats.org/officeDocument/2006/relationships/hyperlink" Target="https://www.fhnw.ch/de/studium/module/9370941" TargetMode="External"/><Relationship Id="rId39" Type="http://schemas.openxmlformats.org/officeDocument/2006/relationships/hyperlink" Target="https://www.fhnw.ch/de/studium/module/9316502" TargetMode="External"/><Relationship Id="rId109" Type="http://schemas.openxmlformats.org/officeDocument/2006/relationships/hyperlink" Target="https://spaces.informatik.fhnw.ch/spaces/cloud-infrastructure-and-computing" TargetMode="External"/><Relationship Id="rId34" Type="http://schemas.openxmlformats.org/officeDocument/2006/relationships/hyperlink" Target="https://spaces.informatik.fhnw.ch/spaces/deep-learning-auf-bild-und-signal" TargetMode="External"/><Relationship Id="rId50" Type="http://schemas.openxmlformats.org/officeDocument/2006/relationships/hyperlink" Target="https://www.fhnw.ch/de/studium/module/9580753" TargetMode="External"/><Relationship Id="rId55" Type="http://schemas.openxmlformats.org/officeDocument/2006/relationships/hyperlink" Target="https://www.fhnw.ch/de/studium/module/9316473" TargetMode="External"/><Relationship Id="rId76" Type="http://schemas.openxmlformats.org/officeDocument/2006/relationships/hyperlink" Target="https://www.fhnw.ch/de/studium/module/9917583" TargetMode="External"/><Relationship Id="rId97" Type="http://schemas.openxmlformats.org/officeDocument/2006/relationships/hyperlink" Target="https://www.fhnw.ch/de/studium/module/9316495" TargetMode="External"/><Relationship Id="rId104" Type="http://schemas.openxmlformats.org/officeDocument/2006/relationships/hyperlink" Target="https://spaces.informatik.fhnw.ch/spaces/grundkompetenz-it" TargetMode="External"/><Relationship Id="rId120" Type="http://schemas.openxmlformats.org/officeDocument/2006/relationships/hyperlink" Target="https://www.fhnw.ch/de/studium/module/9316540" TargetMode="External"/><Relationship Id="rId125" Type="http://schemas.openxmlformats.org/officeDocument/2006/relationships/hyperlink" Target="https://www.fhnw.ch/de/studium/module/9316530" TargetMode="External"/><Relationship Id="rId141" Type="http://schemas.openxmlformats.org/officeDocument/2006/relationships/hyperlink" Target="https://www.fhnw.ch/de/studium/module/9316531" TargetMode="External"/><Relationship Id="rId146" Type="http://schemas.openxmlformats.org/officeDocument/2006/relationships/hyperlink" Target="https://www.fhnw.ch/de/studium/module/9470888" TargetMode="External"/><Relationship Id="rId7" Type="http://schemas.openxmlformats.org/officeDocument/2006/relationships/hyperlink" Target="https://www.fhnw.ch/de/studium/module/9370963" TargetMode="External"/><Relationship Id="rId71" Type="http://schemas.openxmlformats.org/officeDocument/2006/relationships/hyperlink" Target="https://spaces.informatik.fhnw.ch/spaces/wahrscheinlichkeitsrechnen" TargetMode="External"/><Relationship Id="rId92" Type="http://schemas.openxmlformats.org/officeDocument/2006/relationships/hyperlink" Target="https://www.fhnw.ch/de/studium/module/9816650" TargetMode="External"/><Relationship Id="rId2" Type="http://schemas.openxmlformats.org/officeDocument/2006/relationships/hyperlink" Target="https://www.fhnw.ch/de/studium/module/9155710" TargetMode="External"/><Relationship Id="rId29" Type="http://schemas.openxmlformats.org/officeDocument/2006/relationships/hyperlink" Target="https://spaces.informatik.fhnw.ch/spaces/vertiefung-schreiben" TargetMode="External"/><Relationship Id="rId24" Type="http://schemas.openxmlformats.org/officeDocument/2006/relationships/hyperlink" Target="https://spaces.informatik.fhnw.ch/spaces/grundverstaendnis-data-science" TargetMode="External"/><Relationship Id="rId40" Type="http://schemas.openxmlformats.org/officeDocument/2006/relationships/hyperlink" Target="https://spaces.informatik.fhnw.ch/spaces/reinforcement-learning" TargetMode="External"/><Relationship Id="rId45" Type="http://schemas.openxmlformats.org/officeDocument/2006/relationships/hyperlink" Target="https://www.fhnw.ch/de/studium/module/9816681" TargetMode="External"/><Relationship Id="rId66" Type="http://schemas.openxmlformats.org/officeDocument/2006/relationships/hyperlink" Target="https://www.fhnw.ch/de/studium/module/9316482" TargetMode="External"/><Relationship Id="rId87" Type="http://schemas.openxmlformats.org/officeDocument/2006/relationships/hyperlink" Target="https://spaces.informatik.fhnw.ch/spaces/softwarekonstruktion" TargetMode="External"/><Relationship Id="rId110" Type="http://schemas.openxmlformats.org/officeDocument/2006/relationships/hyperlink" Target="https://spaces.informatik.fhnw.ch/spaces/data-engineering" TargetMode="External"/><Relationship Id="rId115" Type="http://schemas.openxmlformats.org/officeDocument/2006/relationships/hyperlink" Target="https://spaces.informatik.fhnw.ch/spaces/high-performance-computing" TargetMode="External"/><Relationship Id="rId131" Type="http://schemas.openxmlformats.org/officeDocument/2006/relationships/hyperlink" Target="https://spaces.informatik.fhnw.ch/spaces/datengestuetzte-geschaeftsmodelle" TargetMode="External"/><Relationship Id="rId136" Type="http://schemas.openxmlformats.org/officeDocument/2006/relationships/hyperlink" Target="https://spaces.informatik.fhnw.ch/spaces/datenrecht" TargetMode="External"/><Relationship Id="rId157" Type="http://schemas.openxmlformats.org/officeDocument/2006/relationships/hyperlink" Target="https://spaces.informatik.fhnw.ch/spaces/laufbahn-aktiv-gestalten" TargetMode="External"/><Relationship Id="rId61" Type="http://schemas.openxmlformats.org/officeDocument/2006/relationships/hyperlink" Target="https://spaces.informatik.fhnw.ch/spaces/vertiefende-themen-der-analysis" TargetMode="External"/><Relationship Id="rId82" Type="http://schemas.openxmlformats.org/officeDocument/2006/relationships/hyperlink" Target="https://www.fhnw.ch/de/studium/module/9816663" TargetMode="External"/><Relationship Id="rId152" Type="http://schemas.openxmlformats.org/officeDocument/2006/relationships/hyperlink" Target="https://spaces.informatik.fhnw.ch/spaces/kollaboration-in-teams" TargetMode="External"/><Relationship Id="rId19" Type="http://schemas.openxmlformats.org/officeDocument/2006/relationships/hyperlink" Target="https://www.fhnw.ch/de/studium/module/9370944" TargetMode="External"/><Relationship Id="rId14" Type="http://schemas.openxmlformats.org/officeDocument/2006/relationships/hyperlink" Target="https://www.fhnw.ch/de/studium/module/9370949" TargetMode="External"/><Relationship Id="rId30" Type="http://schemas.openxmlformats.org/officeDocument/2006/relationships/hyperlink" Target="https://spaces.informatik.fhnw.ch/spaces/digital-kommunizieren" TargetMode="External"/><Relationship Id="rId35" Type="http://schemas.openxmlformats.org/officeDocument/2006/relationships/hyperlink" Target="https://www.fhnw.ch/de/studium/module/9470867" TargetMode="External"/><Relationship Id="rId56" Type="http://schemas.openxmlformats.org/officeDocument/2006/relationships/hyperlink" Target="https://www.fhnw.ch/de/studium/module/9314648" TargetMode="External"/><Relationship Id="rId77" Type="http://schemas.openxmlformats.org/officeDocument/2006/relationships/hyperlink" Target="https://www.fhnw.ch/de/studium/module/9368088" TargetMode="External"/><Relationship Id="rId100" Type="http://schemas.openxmlformats.org/officeDocument/2006/relationships/hyperlink" Target="https://www.fhnw.ch/de/studium/module/9732526" TargetMode="External"/><Relationship Id="rId105" Type="http://schemas.openxmlformats.org/officeDocument/2006/relationships/hyperlink" Target="https://spaces.informatik.fhnw.ch/spaces/data-wrangling" TargetMode="External"/><Relationship Id="rId126" Type="http://schemas.openxmlformats.org/officeDocument/2006/relationships/hyperlink" Target="https://www.fhnw.ch/de/studium/module/9580535?show_language=de" TargetMode="External"/><Relationship Id="rId147" Type="http://schemas.openxmlformats.org/officeDocument/2006/relationships/hyperlink" Target="https://www.fhnw.ch/de/studium/module/9544573" TargetMode="External"/><Relationship Id="rId8" Type="http://schemas.openxmlformats.org/officeDocument/2006/relationships/hyperlink" Target="https://www.fhnw.ch/de/studium/module/9419151" TargetMode="External"/><Relationship Id="rId51" Type="http://schemas.openxmlformats.org/officeDocument/2006/relationships/hyperlink" Target="https://www.fhnw.ch/de/studium/module/9314619" TargetMode="External"/><Relationship Id="rId72" Type="http://schemas.openxmlformats.org/officeDocument/2006/relationships/hyperlink" Target="https://spaces.informatik.fhnw.ch/spaces/statistisches-lernen" TargetMode="External"/><Relationship Id="rId93" Type="http://schemas.openxmlformats.org/officeDocument/2006/relationships/hyperlink" Target="https://spaces.informatik.fhnw.ch/spaces/computational-thinking" TargetMode="External"/><Relationship Id="rId98" Type="http://schemas.openxmlformats.org/officeDocument/2006/relationships/hyperlink" Target="https://www.fhnw.ch/de/studium/module/9370920" TargetMode="External"/><Relationship Id="rId121" Type="http://schemas.openxmlformats.org/officeDocument/2006/relationships/hyperlink" Target="https://www.fhnw.ch/de/studium/module/9316517" TargetMode="External"/><Relationship Id="rId142" Type="http://schemas.openxmlformats.org/officeDocument/2006/relationships/hyperlink" Target="https://www.fhnw.ch/de/studium/module/9370961" TargetMode="External"/><Relationship Id="rId3" Type="http://schemas.openxmlformats.org/officeDocument/2006/relationships/hyperlink" Target="https://www.fhnw.ch/de/studium/module/9384063" TargetMode="External"/><Relationship Id="rId25" Type="http://schemas.openxmlformats.org/officeDocument/2006/relationships/hyperlink" Target="https://spaces.informatik.fhnw.ch/spaces/fundamentals-of-data-visualization" TargetMode="External"/><Relationship Id="rId46" Type="http://schemas.openxmlformats.org/officeDocument/2006/relationships/hyperlink" Target="https://www.fhnw.ch/de/studium/module/9816674" TargetMode="External"/><Relationship Id="rId67" Type="http://schemas.openxmlformats.org/officeDocument/2006/relationships/hyperlink" Target="https://www.fhnw.ch/de/studium/module/9370883" TargetMode="External"/><Relationship Id="rId116" Type="http://schemas.openxmlformats.org/officeDocument/2006/relationships/hyperlink" Target="https://www.fhnw.ch/de/studium/module/9370950" TargetMode="External"/><Relationship Id="rId137" Type="http://schemas.openxmlformats.org/officeDocument/2006/relationships/hyperlink" Target="https://spaces.informatik.fhnw.ch/spaces/politik-geschichte-kultur" TargetMode="External"/><Relationship Id="rId158" Type="http://schemas.openxmlformats.org/officeDocument/2006/relationships/printerSettings" Target="../printerSettings/printerSettings1.bin"/><Relationship Id="rId20" Type="http://schemas.openxmlformats.org/officeDocument/2006/relationships/hyperlink" Target="https://www.fhnw.ch/de/studium/module/9405106" TargetMode="External"/><Relationship Id="rId41" Type="http://schemas.openxmlformats.org/officeDocument/2006/relationships/hyperlink" Target="https://spaces.informatik.fhnw.ch/spaces/explainable-ai" TargetMode="External"/><Relationship Id="rId62" Type="http://schemas.openxmlformats.org/officeDocument/2006/relationships/hyperlink" Target="https://spaces.informatik.fhnw.ch/spaces/optimierung-fuer-machine-learning" TargetMode="External"/><Relationship Id="rId83" Type="http://schemas.openxmlformats.org/officeDocument/2006/relationships/hyperlink" Target="https://spaces.informatik.fhnw.ch/spaces/grundkompetenz-programmieren" TargetMode="External"/><Relationship Id="rId88" Type="http://schemas.openxmlformats.org/officeDocument/2006/relationships/hyperlink" Target="https://spaces.informatik.fhnw.ch/spaces/webtechnologien" TargetMode="External"/><Relationship Id="rId111" Type="http://schemas.openxmlformats.org/officeDocument/2006/relationships/hyperlink" Target="https://www.fhnw.ch/de/studium/module/9917587" TargetMode="External"/><Relationship Id="rId132" Type="http://schemas.openxmlformats.org/officeDocument/2006/relationships/hyperlink" Target="https://spaces.informatik.fhnw.ch/spaces/design-thinking-fuer-data-scientists" TargetMode="External"/><Relationship Id="rId153" Type="http://schemas.openxmlformats.org/officeDocument/2006/relationships/hyperlink" Target="https://spaces.informatik.fhnw.ch/spaces/colab" TargetMode="External"/><Relationship Id="rId15" Type="http://schemas.openxmlformats.org/officeDocument/2006/relationships/hyperlink" Target="https://www.fhnw.ch/de/studium/module/9316526" TargetMode="External"/><Relationship Id="rId36" Type="http://schemas.openxmlformats.org/officeDocument/2006/relationships/hyperlink" Target="https://www.fhnw.ch/de/studium/module/9470881" TargetMode="External"/><Relationship Id="rId57" Type="http://schemas.openxmlformats.org/officeDocument/2006/relationships/hyperlink" Target="https://spaces.informatik.fhnw.ch/spaces/grundlagen-der-analysis" TargetMode="External"/><Relationship Id="rId106" Type="http://schemas.openxmlformats.org/officeDocument/2006/relationships/hyperlink" Target="https://spaces.informatik.fhnw.ch/spaces/datenbankdesign-und-implementierung" TargetMode="External"/><Relationship Id="rId127" Type="http://schemas.openxmlformats.org/officeDocument/2006/relationships/hyperlink" Target="https://www.fhnw.ch/de/studium/module/9732621" TargetMode="External"/><Relationship Id="rId10" Type="http://schemas.openxmlformats.org/officeDocument/2006/relationships/hyperlink" Target="https://www.fhnw.ch/de/studium/module/9370929" TargetMode="External"/><Relationship Id="rId31" Type="http://schemas.openxmlformats.org/officeDocument/2006/relationships/hyperlink" Target="https://spaces.informatik.fhnw.ch/spaces/praesentieren" TargetMode="External"/><Relationship Id="rId52" Type="http://schemas.openxmlformats.org/officeDocument/2006/relationships/hyperlink" Target="https://www.fhnw.ch/de/studium/module/9316470" TargetMode="External"/><Relationship Id="rId73" Type="http://schemas.openxmlformats.org/officeDocument/2006/relationships/hyperlink" Target="https://spaces.informatik.fhnw.ch/spaces/bayessche-datenanalyse" TargetMode="External"/><Relationship Id="rId78" Type="http://schemas.openxmlformats.org/officeDocument/2006/relationships/hyperlink" Target="https://www.fhnw.ch/de/studium/module/9329345" TargetMode="External"/><Relationship Id="rId94" Type="http://schemas.openxmlformats.org/officeDocument/2006/relationships/hyperlink" Target="https://www.fhnw.ch/de/studium/module/9314627" TargetMode="External"/><Relationship Id="rId99" Type="http://schemas.openxmlformats.org/officeDocument/2006/relationships/hyperlink" Target="https://www.fhnw.ch/de/studium/module/9470696" TargetMode="External"/><Relationship Id="rId101" Type="http://schemas.openxmlformats.org/officeDocument/2006/relationships/hyperlink" Target="https://spaces.informatik.fhnw.ch/spaces/high-performance-computing-in-practice" TargetMode="External"/><Relationship Id="rId122" Type="http://schemas.openxmlformats.org/officeDocument/2006/relationships/hyperlink" Target="https://www.fhnw.ch/de/studium/module/9316521" TargetMode="External"/><Relationship Id="rId143" Type="http://schemas.openxmlformats.org/officeDocument/2006/relationships/hyperlink" Target="https://www.fhnw.ch/de/studium/module/9370958" TargetMode="External"/><Relationship Id="rId148" Type="http://schemas.openxmlformats.org/officeDocument/2006/relationships/hyperlink" Target="https://www.fhnw.ch/de/studium/module/9821296" TargetMode="External"/><Relationship Id="rId4" Type="http://schemas.openxmlformats.org/officeDocument/2006/relationships/hyperlink" Target="https://www.fhnw.ch/de/studium/module/9370965" TargetMode="External"/><Relationship Id="rId9" Type="http://schemas.openxmlformats.org/officeDocument/2006/relationships/hyperlink" Target="https://www.fhnw.ch/de/studium/module/9399023" TargetMode="External"/><Relationship Id="rId26" Type="http://schemas.openxmlformats.org/officeDocument/2006/relationships/hyperlink" Target="https://spaces.informatik.fhnw.ch/spaces/interactive-visualization" TargetMode="External"/><Relationship Id="rId47" Type="http://schemas.openxmlformats.org/officeDocument/2006/relationships/hyperlink" Target="https://spaces.informatik.fhnw.ch/spaces/modellierung-und-simulation-komplexer-systeme" TargetMode="External"/><Relationship Id="rId68" Type="http://schemas.openxmlformats.org/officeDocument/2006/relationships/hyperlink" Target="https://www.fhnw.ch/de/studium/module/9370912" TargetMode="External"/><Relationship Id="rId89" Type="http://schemas.openxmlformats.org/officeDocument/2006/relationships/hyperlink" Target="https://spaces.informatik.fhnw.ch/spaces/effiziente-algorithmen" TargetMode="External"/><Relationship Id="rId112" Type="http://schemas.openxmlformats.org/officeDocument/2006/relationships/hyperlink" Target="https://www.fhnw.ch/de/studium/module/9917592" TargetMode="External"/><Relationship Id="rId133" Type="http://schemas.openxmlformats.org/officeDocument/2006/relationships/hyperlink" Target="https://spaces.informatik.fhnw.ch/spaces/gesellschaftliche-auswirkungen-von-ki-design" TargetMode="External"/><Relationship Id="rId154" Type="http://schemas.openxmlformats.org/officeDocument/2006/relationships/hyperlink" Target="https://spaces.informatik.fhnw.ch/spaces/interkulturelle-kompetenz" TargetMode="External"/><Relationship Id="rId16" Type="http://schemas.openxmlformats.org/officeDocument/2006/relationships/hyperlink" Target="https://www.fhnw.ch/de/studium/module/9316503" TargetMode="External"/><Relationship Id="rId37" Type="http://schemas.openxmlformats.org/officeDocument/2006/relationships/hyperlink" Target="https://www.fhnw.ch/de/studium/module/9544556" TargetMode="External"/><Relationship Id="rId58" Type="http://schemas.openxmlformats.org/officeDocument/2006/relationships/hyperlink" Target="https://spaces.informatik.fhnw.ch/spaces/grundlagen-der-linearen-algebra" TargetMode="External"/><Relationship Id="rId79" Type="http://schemas.openxmlformats.org/officeDocument/2006/relationships/hyperlink" Target="https://www.fhnw.ch/de/studium/module/9316486" TargetMode="External"/><Relationship Id="rId102" Type="http://schemas.openxmlformats.org/officeDocument/2006/relationships/hyperlink" Target="https://www.fhnw.ch/de/studium/module/9821163" TargetMode="External"/><Relationship Id="rId123" Type="http://schemas.openxmlformats.org/officeDocument/2006/relationships/hyperlink" Target="https://www.fhnw.ch/de/studium/module/9544563" TargetMode="External"/><Relationship Id="rId144" Type="http://schemas.openxmlformats.org/officeDocument/2006/relationships/hyperlink" Target="https://www.fhnw.ch/de/studium/module/9316543" TargetMode="External"/><Relationship Id="rId90" Type="http://schemas.openxmlformats.org/officeDocument/2006/relationships/hyperlink" Target="https://spaces.informatik.fhnw.ch/spaces/effiziente-algorithmen" TargetMode="External"/><Relationship Id="rId27" Type="http://schemas.openxmlformats.org/officeDocument/2006/relationships/hyperlink" Target="https://spaces.informatik.fhnw.ch/spaces/visual-analytics" TargetMode="External"/><Relationship Id="rId48" Type="http://schemas.openxmlformats.org/officeDocument/2006/relationships/hyperlink" Target="https://spaces.informatik.fhnw.ch/spaces/nachhaltige-gestaltung-datengetriebener-systeme" TargetMode="External"/><Relationship Id="rId69" Type="http://schemas.openxmlformats.org/officeDocument/2006/relationships/hyperlink" Target="https://www.fhnw.ch/de/studium/module/9384037" TargetMode="External"/><Relationship Id="rId113" Type="http://schemas.openxmlformats.org/officeDocument/2006/relationships/hyperlink" Target="https://spaces.informatik.fhnw.ch/spaces/high-performance-computing-in-practice" TargetMode="External"/><Relationship Id="rId134" Type="http://schemas.openxmlformats.org/officeDocument/2006/relationships/hyperlink" Target="https://spaces.informatik.fhnw.ch/spaces/ethisches-reflektier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08"/>
  <sheetViews>
    <sheetView tabSelected="1" view="pageBreakPreview" zoomScale="49" zoomScaleNormal="80" zoomScaleSheetLayoutView="49" zoomScalePageLayoutView="50" workbookViewId="0">
      <selection activeCell="O12" sqref="O12"/>
    </sheetView>
  </sheetViews>
  <sheetFormatPr baseColWidth="10" defaultColWidth="26" defaultRowHeight="14.4" x14ac:dyDescent="0.55000000000000004"/>
  <cols>
    <col min="1" max="1" width="60.1640625" style="1" bestFit="1" customWidth="1"/>
    <col min="2" max="2" width="5.71875" style="6" customWidth="1"/>
    <col min="3" max="3" width="20.71875" style="6" customWidth="1"/>
    <col min="4" max="4" width="5.71875" style="6" customWidth="1"/>
    <col min="5" max="5" width="63.71875" style="65" customWidth="1"/>
    <col min="6" max="6" width="11" style="6" bestFit="1" customWidth="1"/>
    <col min="7" max="7" width="32.1640625" style="7" bestFit="1" customWidth="1"/>
    <col min="8" max="8" width="5.71875" style="6" customWidth="1"/>
    <col min="9" max="9" width="14.1640625" style="7" customWidth="1"/>
    <col min="10" max="10" width="5.71875" style="7" customWidth="1"/>
    <col min="11" max="11" width="27.1640625" style="7" customWidth="1"/>
    <col min="12" max="12" width="5.71875" style="6" customWidth="1"/>
    <col min="13" max="13" width="23.71875" style="7" bestFit="1" customWidth="1"/>
    <col min="14" max="14" width="5.71875" style="6" customWidth="1"/>
    <col min="15" max="15" width="138.27734375" style="7" customWidth="1"/>
    <col min="16" max="16384" width="26" style="6"/>
  </cols>
  <sheetData>
    <row r="2" spans="1:15" ht="18.3" x14ac:dyDescent="0.55000000000000004">
      <c r="C2" s="14" t="s">
        <v>102</v>
      </c>
    </row>
    <row r="3" spans="1:15" ht="32.25" customHeight="1" x14ac:dyDescent="0.5">
      <c r="A3" s="2" t="s">
        <v>111</v>
      </c>
      <c r="C3" s="15" t="s">
        <v>99</v>
      </c>
      <c r="O3" s="33" t="s">
        <v>208</v>
      </c>
    </row>
    <row r="4" spans="1:15" ht="32.25" customHeight="1" x14ac:dyDescent="0.5">
      <c r="A4" s="13"/>
      <c r="C4" s="16" t="s">
        <v>100</v>
      </c>
      <c r="O4" s="32"/>
    </row>
    <row r="5" spans="1:15" ht="32.25" customHeight="1" x14ac:dyDescent="0.55000000000000004">
      <c r="C5" s="140" t="s">
        <v>206</v>
      </c>
      <c r="O5" s="71" t="s">
        <v>207</v>
      </c>
    </row>
    <row r="6" spans="1:15" ht="32.25" customHeight="1" x14ac:dyDescent="0.55000000000000004">
      <c r="C6" s="17" t="s">
        <v>101</v>
      </c>
    </row>
    <row r="7" spans="1:15" ht="32.1" customHeight="1" thickBot="1" x14ac:dyDescent="0.75">
      <c r="A7" s="2"/>
      <c r="C7" s="8"/>
    </row>
    <row r="8" spans="1:15" s="4" customFormat="1" ht="31.35" customHeight="1" x14ac:dyDescent="0.4">
      <c r="A8" s="164" t="s">
        <v>94</v>
      </c>
      <c r="B8" s="9"/>
      <c r="C8" s="145" t="s">
        <v>135</v>
      </c>
      <c r="D8" s="9"/>
      <c r="E8" s="154" t="s">
        <v>136</v>
      </c>
      <c r="F8" s="155"/>
      <c r="G8" s="156"/>
      <c r="H8" s="9"/>
      <c r="I8" s="152" t="s">
        <v>174</v>
      </c>
      <c r="J8" s="9"/>
      <c r="K8" s="152" t="s">
        <v>95</v>
      </c>
      <c r="L8" s="9"/>
      <c r="M8" s="152" t="s">
        <v>109</v>
      </c>
      <c r="N8" s="9"/>
      <c r="O8" s="152" t="s">
        <v>110</v>
      </c>
    </row>
    <row r="9" spans="1:15" s="4" customFormat="1" ht="31.35" customHeight="1" thickBot="1" x14ac:dyDescent="0.45">
      <c r="A9" s="165"/>
      <c r="B9" s="9"/>
      <c r="C9" s="146"/>
      <c r="D9" s="9"/>
      <c r="E9" s="157"/>
      <c r="F9" s="158"/>
      <c r="G9" s="159"/>
      <c r="H9" s="9"/>
      <c r="I9" s="153"/>
      <c r="J9" s="9"/>
      <c r="K9" s="153"/>
      <c r="L9" s="9"/>
      <c r="M9" s="153"/>
      <c r="N9" s="9"/>
      <c r="O9" s="153"/>
    </row>
    <row r="10" spans="1:15" s="4" customFormat="1" ht="31.35" customHeight="1" thickBot="1" x14ac:dyDescent="0.8">
      <c r="A10" s="147" t="s">
        <v>103</v>
      </c>
      <c r="B10" s="5"/>
      <c r="C10" s="107" t="s">
        <v>194</v>
      </c>
      <c r="D10" s="5"/>
      <c r="E10" s="131" t="s">
        <v>195</v>
      </c>
      <c r="F10" s="118" t="s">
        <v>138</v>
      </c>
      <c r="G10" s="87" t="s">
        <v>139</v>
      </c>
      <c r="H10" s="20"/>
      <c r="I10" s="21">
        <v>3</v>
      </c>
      <c r="J10" s="20"/>
      <c r="K10" s="21" t="s">
        <v>96</v>
      </c>
      <c r="L10" s="9"/>
      <c r="M10" s="106"/>
      <c r="N10" s="9"/>
      <c r="O10" s="72"/>
    </row>
    <row r="11" spans="1:15" s="3" customFormat="1" ht="32.1" customHeight="1" x14ac:dyDescent="0.75">
      <c r="A11" s="148"/>
      <c r="B11" s="5"/>
      <c r="C11" s="108" t="s">
        <v>2</v>
      </c>
      <c r="D11" s="5"/>
      <c r="E11" s="122" t="s">
        <v>137</v>
      </c>
      <c r="F11" s="109" t="s">
        <v>138</v>
      </c>
      <c r="G11" s="87" t="s">
        <v>139</v>
      </c>
      <c r="H11" s="20"/>
      <c r="I11" s="21">
        <v>3</v>
      </c>
      <c r="J11" s="20"/>
      <c r="K11" s="21" t="s">
        <v>96</v>
      </c>
      <c r="L11" s="44"/>
      <c r="M11" s="19"/>
      <c r="N11" s="26"/>
      <c r="O11" s="73" t="s">
        <v>209</v>
      </c>
    </row>
    <row r="12" spans="1:15" s="5" customFormat="1" ht="32.1" customHeight="1" x14ac:dyDescent="0.75">
      <c r="A12" s="148"/>
      <c r="C12" s="108" t="s">
        <v>5</v>
      </c>
      <c r="E12" s="122" t="s">
        <v>91</v>
      </c>
      <c r="F12" s="119" t="s">
        <v>138</v>
      </c>
      <c r="G12" s="87" t="s">
        <v>139</v>
      </c>
      <c r="H12" s="20"/>
      <c r="I12" s="21">
        <v>3</v>
      </c>
      <c r="J12" s="20"/>
      <c r="K12" s="21" t="s">
        <v>96</v>
      </c>
      <c r="M12" s="21"/>
      <c r="N12" s="20"/>
      <c r="O12" s="73" t="s">
        <v>209</v>
      </c>
    </row>
    <row r="13" spans="1:15" s="5" customFormat="1" ht="32.1" customHeight="1" x14ac:dyDescent="0.75">
      <c r="A13" s="148"/>
      <c r="B13" s="45"/>
      <c r="C13" s="108" t="s">
        <v>0</v>
      </c>
      <c r="D13" s="45"/>
      <c r="E13" s="122" t="s">
        <v>1</v>
      </c>
      <c r="F13" s="119" t="s">
        <v>138</v>
      </c>
      <c r="G13" s="87" t="s">
        <v>139</v>
      </c>
      <c r="H13" s="20"/>
      <c r="I13" s="21">
        <v>3</v>
      </c>
      <c r="J13" s="20"/>
      <c r="K13" s="21" t="s">
        <v>96</v>
      </c>
      <c r="M13" s="21"/>
      <c r="N13" s="20"/>
      <c r="O13" s="73"/>
    </row>
    <row r="14" spans="1:15" s="5" customFormat="1" ht="32.1" customHeight="1" x14ac:dyDescent="0.75">
      <c r="A14" s="148"/>
      <c r="C14" s="108" t="s">
        <v>6</v>
      </c>
      <c r="E14" s="122" t="s">
        <v>92</v>
      </c>
      <c r="F14" s="119" t="s">
        <v>138</v>
      </c>
      <c r="G14" s="87" t="s">
        <v>139</v>
      </c>
      <c r="H14" s="20"/>
      <c r="I14" s="21">
        <v>3</v>
      </c>
      <c r="J14" s="20"/>
      <c r="K14" s="21" t="s">
        <v>97</v>
      </c>
      <c r="M14" s="21"/>
      <c r="N14" s="20"/>
      <c r="O14" s="73"/>
    </row>
    <row r="15" spans="1:15" s="5" customFormat="1" ht="32.1" customHeight="1" x14ac:dyDescent="0.75">
      <c r="A15" s="148"/>
      <c r="C15" s="108" t="s">
        <v>3</v>
      </c>
      <c r="E15" s="122" t="s">
        <v>4</v>
      </c>
      <c r="F15" s="119" t="s">
        <v>138</v>
      </c>
      <c r="G15" s="87" t="s">
        <v>139</v>
      </c>
      <c r="H15" s="20"/>
      <c r="I15" s="21">
        <v>3</v>
      </c>
      <c r="J15" s="20"/>
      <c r="K15" s="21" t="s">
        <v>97</v>
      </c>
      <c r="M15" s="21"/>
      <c r="N15" s="20"/>
      <c r="O15" s="73"/>
    </row>
    <row r="16" spans="1:15" s="5" customFormat="1" ht="32.1" customHeight="1" thickBot="1" x14ac:dyDescent="0.8">
      <c r="A16" s="160"/>
      <c r="C16" s="110" t="s">
        <v>7</v>
      </c>
      <c r="E16" s="129" t="s">
        <v>8</v>
      </c>
      <c r="F16" s="130" t="s">
        <v>138</v>
      </c>
      <c r="G16" s="84" t="s">
        <v>139</v>
      </c>
      <c r="H16" s="20"/>
      <c r="I16" s="25">
        <v>3</v>
      </c>
      <c r="J16" s="20"/>
      <c r="K16" s="134" t="s">
        <v>98</v>
      </c>
      <c r="M16" s="25"/>
      <c r="N16" s="20"/>
      <c r="O16" s="74"/>
    </row>
    <row r="17" spans="1:15" s="5" customFormat="1" ht="32.1" customHeight="1" thickBot="1" x14ac:dyDescent="0.8">
      <c r="A17" s="53" t="s">
        <v>154</v>
      </c>
      <c r="C17" s="53" t="s">
        <v>112</v>
      </c>
      <c r="E17" s="57" t="s">
        <v>113</v>
      </c>
      <c r="F17" s="91"/>
      <c r="G17" s="85"/>
      <c r="I17" s="55" t="s">
        <v>113</v>
      </c>
      <c r="K17" s="105" t="s">
        <v>113</v>
      </c>
      <c r="M17" s="55"/>
      <c r="O17" s="75"/>
    </row>
    <row r="18" spans="1:15" s="5" customFormat="1" ht="32.1" customHeight="1" thickBot="1" x14ac:dyDescent="0.8">
      <c r="A18" s="147" t="s">
        <v>104</v>
      </c>
      <c r="C18" s="112" t="s">
        <v>9</v>
      </c>
      <c r="E18" s="121" t="s">
        <v>10</v>
      </c>
      <c r="F18" s="118" t="s">
        <v>138</v>
      </c>
      <c r="G18" s="86" t="s">
        <v>139</v>
      </c>
      <c r="H18" s="20"/>
      <c r="I18" s="22">
        <v>4</v>
      </c>
      <c r="J18" s="20"/>
      <c r="K18" s="22" t="s">
        <v>96</v>
      </c>
      <c r="M18" s="18"/>
      <c r="O18" s="77"/>
    </row>
    <row r="19" spans="1:15" s="5" customFormat="1" ht="32.1" customHeight="1" x14ac:dyDescent="0.75">
      <c r="A19" s="148"/>
      <c r="C19" s="51" t="s">
        <v>11</v>
      </c>
      <c r="E19" s="122" t="s">
        <v>12</v>
      </c>
      <c r="F19" s="119" t="s">
        <v>138</v>
      </c>
      <c r="G19" s="87" t="s">
        <v>139</v>
      </c>
      <c r="H19" s="20"/>
      <c r="I19" s="21">
        <v>3</v>
      </c>
      <c r="J19" s="20"/>
      <c r="K19" s="21" t="s">
        <v>96</v>
      </c>
      <c r="M19" s="22">
        <v>3</v>
      </c>
      <c r="N19" s="20"/>
      <c r="O19" s="76" t="s">
        <v>217</v>
      </c>
    </row>
    <row r="20" spans="1:15" s="5" customFormat="1" ht="32.1" customHeight="1" x14ac:dyDescent="0.75">
      <c r="A20" s="148"/>
      <c r="C20" s="51" t="s">
        <v>196</v>
      </c>
      <c r="E20" s="132" t="s">
        <v>197</v>
      </c>
      <c r="F20" s="119" t="s">
        <v>138</v>
      </c>
      <c r="G20" s="87" t="s">
        <v>139</v>
      </c>
      <c r="H20" s="20"/>
      <c r="I20" s="21">
        <v>4</v>
      </c>
      <c r="J20" s="20"/>
      <c r="K20" s="21" t="s">
        <v>97</v>
      </c>
      <c r="M20" s="21"/>
      <c r="N20" s="20"/>
      <c r="O20" s="73"/>
    </row>
    <row r="21" spans="1:15" s="5" customFormat="1" ht="32.1" customHeight="1" x14ac:dyDescent="0.75">
      <c r="A21" s="148"/>
      <c r="B21" s="111"/>
      <c r="C21" s="51" t="s">
        <v>76</v>
      </c>
      <c r="E21" s="122" t="s">
        <v>77</v>
      </c>
      <c r="F21" s="119" t="s">
        <v>138</v>
      </c>
      <c r="G21" s="87" t="s">
        <v>139</v>
      </c>
      <c r="H21" s="40"/>
      <c r="I21" s="21">
        <v>4</v>
      </c>
      <c r="J21" s="40"/>
      <c r="K21" s="21" t="s">
        <v>98</v>
      </c>
      <c r="M21" s="21"/>
      <c r="N21" s="20"/>
      <c r="O21" s="73"/>
    </row>
    <row r="22" spans="1:15" s="5" customFormat="1" ht="30" customHeight="1" x14ac:dyDescent="0.75">
      <c r="A22" s="148"/>
      <c r="C22" s="51" t="s">
        <v>13</v>
      </c>
      <c r="E22" s="41" t="s">
        <v>140</v>
      </c>
      <c r="F22" s="119" t="s">
        <v>138</v>
      </c>
      <c r="G22" s="87" t="s">
        <v>139</v>
      </c>
      <c r="H22" s="20"/>
      <c r="I22" s="21">
        <v>2</v>
      </c>
      <c r="J22" s="20"/>
      <c r="K22" s="21" t="s">
        <v>98</v>
      </c>
      <c r="M22" s="21"/>
      <c r="N22" s="20"/>
      <c r="O22" s="73"/>
    </row>
    <row r="23" spans="1:15" s="5" customFormat="1" ht="32.1" customHeight="1" thickBot="1" x14ac:dyDescent="0.8">
      <c r="A23" s="161"/>
      <c r="C23" s="113" t="s">
        <v>74</v>
      </c>
      <c r="E23" s="129" t="s">
        <v>75</v>
      </c>
      <c r="F23" s="90" t="s">
        <v>138</v>
      </c>
      <c r="G23" s="84" t="s">
        <v>139</v>
      </c>
      <c r="H23" s="20"/>
      <c r="I23" s="25">
        <v>3</v>
      </c>
      <c r="J23" s="20"/>
      <c r="K23" s="134" t="s">
        <v>98</v>
      </c>
      <c r="M23" s="64">
        <v>3</v>
      </c>
      <c r="N23" s="20"/>
      <c r="O23" s="77" t="s">
        <v>223</v>
      </c>
    </row>
    <row r="24" spans="1:15" s="5" customFormat="1" ht="32.1" customHeight="1" thickBot="1" x14ac:dyDescent="0.8">
      <c r="A24" s="53" t="s">
        <v>146</v>
      </c>
      <c r="C24" s="53" t="s">
        <v>112</v>
      </c>
      <c r="E24" s="57" t="s">
        <v>113</v>
      </c>
      <c r="F24" s="91"/>
      <c r="G24" s="85"/>
      <c r="I24" s="55" t="s">
        <v>113</v>
      </c>
      <c r="K24" s="105" t="s">
        <v>113</v>
      </c>
      <c r="M24" s="55"/>
      <c r="O24" s="75"/>
    </row>
    <row r="25" spans="1:15" s="5" customFormat="1" ht="32.1" customHeight="1" x14ac:dyDescent="0.75">
      <c r="A25" s="147" t="s">
        <v>201</v>
      </c>
      <c r="C25" s="108" t="s">
        <v>78</v>
      </c>
      <c r="E25" s="121" t="s">
        <v>79</v>
      </c>
      <c r="F25" s="127" t="s">
        <v>138</v>
      </c>
      <c r="G25" s="87" t="s">
        <v>139</v>
      </c>
      <c r="H25" s="20"/>
      <c r="I25" s="24">
        <v>3</v>
      </c>
      <c r="J25" s="20"/>
      <c r="K25" s="24" t="s">
        <v>96</v>
      </c>
      <c r="M25" s="18">
        <v>3</v>
      </c>
      <c r="O25" s="77" t="s">
        <v>213</v>
      </c>
    </row>
    <row r="26" spans="1:15" s="5" customFormat="1" ht="32.1" customHeight="1" x14ac:dyDescent="0.75">
      <c r="A26" s="148"/>
      <c r="C26" s="56" t="s">
        <v>131</v>
      </c>
      <c r="E26" s="41" t="s">
        <v>126</v>
      </c>
      <c r="F26" s="119" t="s">
        <v>138</v>
      </c>
      <c r="G26" s="87" t="s">
        <v>139</v>
      </c>
      <c r="H26" s="20"/>
      <c r="I26" s="25">
        <v>3</v>
      </c>
      <c r="J26" s="20"/>
      <c r="K26" s="25" t="s">
        <v>96</v>
      </c>
      <c r="M26" s="21"/>
      <c r="N26" s="20"/>
      <c r="O26" s="73"/>
    </row>
    <row r="27" spans="1:15" s="5" customFormat="1" ht="32.1" customHeight="1" x14ac:dyDescent="0.75">
      <c r="A27" s="148"/>
      <c r="C27" s="56" t="s">
        <v>198</v>
      </c>
      <c r="E27" s="41" t="s">
        <v>199</v>
      </c>
      <c r="F27" s="119" t="s">
        <v>138</v>
      </c>
      <c r="G27" s="87" t="s">
        <v>139</v>
      </c>
      <c r="H27" s="20"/>
      <c r="I27" s="25">
        <v>3</v>
      </c>
      <c r="J27" s="20"/>
      <c r="K27" s="25" t="s">
        <v>97</v>
      </c>
      <c r="M27" s="21"/>
      <c r="N27" s="20"/>
      <c r="O27" s="73"/>
    </row>
    <row r="28" spans="1:15" s="5" customFormat="1" ht="32.1" customHeight="1" x14ac:dyDescent="0.75">
      <c r="A28" s="148"/>
      <c r="C28" s="51" t="s">
        <v>184</v>
      </c>
      <c r="E28" s="122" t="s">
        <v>200</v>
      </c>
      <c r="F28" s="119" t="s">
        <v>138</v>
      </c>
      <c r="G28" s="87" t="s">
        <v>139</v>
      </c>
      <c r="H28" s="20"/>
      <c r="I28" s="25">
        <v>3</v>
      </c>
      <c r="J28" s="20"/>
      <c r="K28" s="25" t="s">
        <v>97</v>
      </c>
      <c r="M28" s="21"/>
      <c r="N28" s="20"/>
      <c r="O28" s="73"/>
    </row>
    <row r="29" spans="1:15" s="5" customFormat="1" ht="32.1" customHeight="1" x14ac:dyDescent="0.75">
      <c r="A29" s="148"/>
      <c r="B29" s="11"/>
      <c r="C29" s="51" t="s">
        <v>82</v>
      </c>
      <c r="D29" s="46"/>
      <c r="E29" s="122" t="s">
        <v>93</v>
      </c>
      <c r="F29" s="119" t="s">
        <v>138</v>
      </c>
      <c r="G29" s="87" t="s">
        <v>139</v>
      </c>
      <c r="H29" s="23"/>
      <c r="I29" s="21">
        <v>2</v>
      </c>
      <c r="J29" s="23"/>
      <c r="K29" s="21" t="s">
        <v>97</v>
      </c>
      <c r="M29" s="18"/>
      <c r="N29" s="20"/>
      <c r="O29" s="77"/>
    </row>
    <row r="30" spans="1:15" s="5" customFormat="1" ht="32.1" customHeight="1" x14ac:dyDescent="0.75">
      <c r="A30" s="148"/>
      <c r="C30" s="51" t="s">
        <v>192</v>
      </c>
      <c r="E30" s="122" t="s">
        <v>193</v>
      </c>
      <c r="F30" s="119" t="s">
        <v>138</v>
      </c>
      <c r="G30" s="87" t="s">
        <v>139</v>
      </c>
      <c r="H30" s="20"/>
      <c r="I30" s="21">
        <v>3</v>
      </c>
      <c r="J30" s="20"/>
      <c r="K30" s="21" t="s">
        <v>97</v>
      </c>
      <c r="M30" s="21"/>
      <c r="N30" s="20"/>
      <c r="O30" s="73"/>
    </row>
    <row r="31" spans="1:15" s="5" customFormat="1" ht="32.1" customHeight="1" x14ac:dyDescent="0.75">
      <c r="A31" s="148"/>
      <c r="C31" s="51" t="s">
        <v>16</v>
      </c>
      <c r="E31" s="122" t="s">
        <v>17</v>
      </c>
      <c r="F31" s="119" t="s">
        <v>138</v>
      </c>
      <c r="G31" s="87" t="s">
        <v>139</v>
      </c>
      <c r="H31" s="20"/>
      <c r="I31" s="21">
        <v>3</v>
      </c>
      <c r="J31" s="20"/>
      <c r="K31" s="21" t="s">
        <v>97</v>
      </c>
      <c r="M31" s="21"/>
      <c r="N31" s="20"/>
      <c r="O31" s="73"/>
    </row>
    <row r="32" spans="1:15" s="5" customFormat="1" ht="32.1" customHeight="1" thickBot="1" x14ac:dyDescent="0.8">
      <c r="A32" s="148"/>
      <c r="C32" s="113" t="s">
        <v>80</v>
      </c>
      <c r="E32" s="129" t="s">
        <v>81</v>
      </c>
      <c r="F32" s="90" t="s">
        <v>138</v>
      </c>
      <c r="G32" s="135" t="s">
        <v>139</v>
      </c>
      <c r="H32" s="20"/>
      <c r="I32" s="141">
        <v>3</v>
      </c>
      <c r="J32" s="20"/>
      <c r="K32" s="134" t="s">
        <v>97</v>
      </c>
      <c r="M32" s="64"/>
      <c r="N32" s="20"/>
      <c r="O32" s="93"/>
    </row>
    <row r="33" spans="1:15" s="5" customFormat="1" ht="32.1" customHeight="1" thickBot="1" x14ac:dyDescent="0.8">
      <c r="A33" s="102" t="s">
        <v>145</v>
      </c>
      <c r="C33" s="102" t="s">
        <v>112</v>
      </c>
      <c r="E33" s="128" t="s">
        <v>113</v>
      </c>
      <c r="F33" s="103"/>
      <c r="G33" s="104"/>
      <c r="I33" s="105" t="s">
        <v>113</v>
      </c>
      <c r="K33" s="105" t="s">
        <v>113</v>
      </c>
      <c r="M33" s="105"/>
      <c r="O33" s="101"/>
    </row>
    <row r="34" spans="1:15" s="5" customFormat="1" ht="32.1" customHeight="1" x14ac:dyDescent="0.75">
      <c r="A34" s="147" t="s">
        <v>105</v>
      </c>
      <c r="C34" s="108" t="s">
        <v>18</v>
      </c>
      <c r="E34" s="121" t="s">
        <v>141</v>
      </c>
      <c r="F34" s="118" t="s">
        <v>138</v>
      </c>
      <c r="G34" s="86" t="s">
        <v>139</v>
      </c>
      <c r="H34" s="20"/>
      <c r="I34" s="24">
        <v>3</v>
      </c>
      <c r="J34" s="20"/>
      <c r="K34" s="24" t="s">
        <v>96</v>
      </c>
      <c r="M34" s="22">
        <v>3</v>
      </c>
      <c r="N34" s="20"/>
      <c r="O34" s="76" t="s">
        <v>210</v>
      </c>
    </row>
    <row r="35" spans="1:15" s="5" customFormat="1" ht="32.1" customHeight="1" x14ac:dyDescent="0.75">
      <c r="A35" s="148"/>
      <c r="C35" s="108" t="s">
        <v>14</v>
      </c>
      <c r="E35" s="125" t="s">
        <v>15</v>
      </c>
      <c r="F35" s="119" t="s">
        <v>138</v>
      </c>
      <c r="G35" s="87" t="s">
        <v>139</v>
      </c>
      <c r="H35" s="20"/>
      <c r="I35" s="24">
        <v>2</v>
      </c>
      <c r="J35" s="20"/>
      <c r="K35" s="24" t="s">
        <v>96</v>
      </c>
      <c r="M35" s="21"/>
      <c r="N35" s="20"/>
      <c r="O35" s="73"/>
    </row>
    <row r="36" spans="1:15" s="5" customFormat="1" ht="32.1" customHeight="1" x14ac:dyDescent="0.75">
      <c r="A36" s="148"/>
      <c r="C36" s="56" t="s">
        <v>202</v>
      </c>
      <c r="E36" s="122" t="s">
        <v>203</v>
      </c>
      <c r="F36" s="119" t="s">
        <v>138</v>
      </c>
      <c r="G36" s="87" t="s">
        <v>139</v>
      </c>
      <c r="H36" s="20"/>
      <c r="I36" s="24">
        <v>3</v>
      </c>
      <c r="J36" s="20"/>
      <c r="K36" s="24" t="s">
        <v>97</v>
      </c>
      <c r="M36" s="25">
        <v>3</v>
      </c>
      <c r="N36" s="20"/>
      <c r="O36" s="74" t="s">
        <v>214</v>
      </c>
    </row>
    <row r="37" spans="1:15" s="5" customFormat="1" ht="32.1" customHeight="1" x14ac:dyDescent="0.75">
      <c r="A37" s="148"/>
      <c r="C37" s="56" t="s">
        <v>21</v>
      </c>
      <c r="E37" s="122" t="s">
        <v>22</v>
      </c>
      <c r="F37" s="119" t="s">
        <v>138</v>
      </c>
      <c r="G37" s="87" t="s">
        <v>139</v>
      </c>
      <c r="H37" s="20"/>
      <c r="I37" s="21">
        <v>4</v>
      </c>
      <c r="J37" s="20"/>
      <c r="K37" s="21" t="s">
        <v>97</v>
      </c>
      <c r="M37" s="25">
        <v>4</v>
      </c>
      <c r="N37" s="20"/>
      <c r="O37" s="74" t="s">
        <v>212</v>
      </c>
    </row>
    <row r="38" spans="1:15" s="5" customFormat="1" ht="32.1" customHeight="1" x14ac:dyDescent="0.75">
      <c r="A38" s="148"/>
      <c r="C38" s="51" t="s">
        <v>19</v>
      </c>
      <c r="E38" s="122" t="s">
        <v>20</v>
      </c>
      <c r="F38" s="119" t="s">
        <v>138</v>
      </c>
      <c r="G38" s="87" t="s">
        <v>139</v>
      </c>
      <c r="H38" s="20"/>
      <c r="I38" s="21">
        <v>3</v>
      </c>
      <c r="J38" s="20"/>
      <c r="K38" s="21" t="s">
        <v>97</v>
      </c>
      <c r="M38" s="21"/>
      <c r="N38" s="20"/>
      <c r="O38" s="73"/>
    </row>
    <row r="39" spans="1:15" s="5" customFormat="1" ht="32.1" customHeight="1" x14ac:dyDescent="0.75">
      <c r="A39" s="148"/>
      <c r="C39" s="51" t="s">
        <v>23</v>
      </c>
      <c r="E39" s="122" t="s">
        <v>142</v>
      </c>
      <c r="F39" s="119" t="s">
        <v>138</v>
      </c>
      <c r="G39" s="87" t="s">
        <v>139</v>
      </c>
      <c r="H39" s="20"/>
      <c r="I39" s="21">
        <v>2</v>
      </c>
      <c r="J39" s="20"/>
      <c r="K39" s="21" t="s">
        <v>97</v>
      </c>
      <c r="M39" s="21"/>
      <c r="N39" s="20"/>
      <c r="O39" s="73"/>
    </row>
    <row r="40" spans="1:15" s="5" customFormat="1" ht="32.1" customHeight="1" x14ac:dyDescent="0.75">
      <c r="A40" s="148"/>
      <c r="C40" s="51" t="s">
        <v>157</v>
      </c>
      <c r="E40" s="122" t="s">
        <v>158</v>
      </c>
      <c r="F40" s="119" t="s">
        <v>138</v>
      </c>
      <c r="G40" s="87" t="s">
        <v>139</v>
      </c>
      <c r="H40" s="20"/>
      <c r="I40" s="21">
        <v>3</v>
      </c>
      <c r="J40" s="20"/>
      <c r="K40" s="21" t="s">
        <v>97</v>
      </c>
      <c r="M40" s="21"/>
      <c r="N40" s="20"/>
      <c r="O40" s="73"/>
    </row>
    <row r="41" spans="1:15" s="5" customFormat="1" ht="32.1" customHeight="1" x14ac:dyDescent="0.75">
      <c r="A41" s="148"/>
      <c r="C41" s="51" t="s">
        <v>26</v>
      </c>
      <c r="E41" s="122" t="s">
        <v>27</v>
      </c>
      <c r="F41" s="119" t="s">
        <v>138</v>
      </c>
      <c r="G41" s="87" t="s">
        <v>139</v>
      </c>
      <c r="H41" s="20"/>
      <c r="I41" s="21">
        <v>3</v>
      </c>
      <c r="J41" s="20"/>
      <c r="K41" s="21" t="s">
        <v>98</v>
      </c>
      <c r="M41" s="21"/>
      <c r="N41" s="20"/>
      <c r="O41" s="73"/>
    </row>
    <row r="42" spans="1:15" s="5" customFormat="1" ht="32.1" customHeight="1" x14ac:dyDescent="0.75">
      <c r="A42" s="148"/>
      <c r="C42" s="51" t="s">
        <v>24</v>
      </c>
      <c r="E42" s="122" t="s">
        <v>25</v>
      </c>
      <c r="F42" s="120" t="s">
        <v>138</v>
      </c>
      <c r="G42" s="87" t="s">
        <v>139</v>
      </c>
      <c r="H42" s="20"/>
      <c r="I42" s="21">
        <v>3</v>
      </c>
      <c r="J42" s="20"/>
      <c r="K42" s="21" t="s">
        <v>98</v>
      </c>
      <c r="M42" s="25"/>
      <c r="N42" s="20"/>
      <c r="O42" s="74"/>
    </row>
    <row r="43" spans="1:15" s="5" customFormat="1" ht="32.1" customHeight="1" thickBot="1" x14ac:dyDescent="0.8">
      <c r="A43" s="148"/>
      <c r="C43" s="115" t="s">
        <v>190</v>
      </c>
      <c r="E43" s="126" t="s">
        <v>204</v>
      </c>
      <c r="F43" s="138" t="s">
        <v>138</v>
      </c>
      <c r="G43" s="136" t="s">
        <v>139</v>
      </c>
      <c r="H43" s="20"/>
      <c r="I43" s="25">
        <v>3</v>
      </c>
      <c r="J43" s="20"/>
      <c r="K43" s="134" t="s">
        <v>98</v>
      </c>
      <c r="M43" s="25"/>
      <c r="N43" s="20"/>
      <c r="O43" s="74"/>
    </row>
    <row r="44" spans="1:15" s="5" customFormat="1" ht="32.1" hidden="1" customHeight="1" x14ac:dyDescent="0.75">
      <c r="A44" s="160"/>
      <c r="C44" s="115" t="s">
        <v>190</v>
      </c>
      <c r="E44" s="124" t="s">
        <v>204</v>
      </c>
      <c r="F44" s="137" t="s">
        <v>138</v>
      </c>
      <c r="G44" s="133" t="s">
        <v>139</v>
      </c>
      <c r="H44" s="20"/>
      <c r="I44" s="114">
        <v>3</v>
      </c>
      <c r="J44" s="20"/>
      <c r="K44" s="105" t="s">
        <v>98</v>
      </c>
      <c r="L44" s="62"/>
      <c r="M44" s="61"/>
      <c r="N44" s="63"/>
      <c r="O44" s="79"/>
    </row>
    <row r="45" spans="1:15" s="5" customFormat="1" ht="32.1" customHeight="1" thickBot="1" x14ac:dyDescent="0.8">
      <c r="A45" s="53" t="s">
        <v>153</v>
      </c>
      <c r="B45" s="11"/>
      <c r="C45" s="53" t="s">
        <v>112</v>
      </c>
      <c r="D45" s="11"/>
      <c r="E45" s="57" t="s">
        <v>113</v>
      </c>
      <c r="F45" s="91"/>
      <c r="G45" s="85"/>
      <c r="H45" s="11"/>
      <c r="I45" s="55" t="s">
        <v>113</v>
      </c>
      <c r="J45" s="11"/>
      <c r="K45" s="55" t="s">
        <v>113</v>
      </c>
      <c r="L45" s="11"/>
      <c r="M45" s="55"/>
      <c r="N45" s="11"/>
      <c r="O45" s="75"/>
    </row>
    <row r="46" spans="1:15" s="5" customFormat="1" ht="32.1" customHeight="1" x14ac:dyDescent="0.75">
      <c r="A46" s="147" t="s">
        <v>134</v>
      </c>
      <c r="C46" s="10" t="s">
        <v>132</v>
      </c>
      <c r="E46" s="41" t="s">
        <v>125</v>
      </c>
      <c r="F46" s="82" t="s">
        <v>138</v>
      </c>
      <c r="G46" s="88" t="s">
        <v>139</v>
      </c>
      <c r="H46" s="20"/>
      <c r="I46" s="21">
        <v>6</v>
      </c>
      <c r="J46" s="20"/>
      <c r="K46" s="21" t="s">
        <v>97</v>
      </c>
      <c r="M46" s="22"/>
      <c r="N46" s="20"/>
      <c r="O46" s="76"/>
    </row>
    <row r="47" spans="1:15" s="5" customFormat="1" ht="32.1" customHeight="1" x14ac:dyDescent="0.75">
      <c r="A47" s="148"/>
      <c r="C47" s="51" t="s">
        <v>28</v>
      </c>
      <c r="E47" s="66" t="s">
        <v>29</v>
      </c>
      <c r="F47" s="82" t="s">
        <v>138</v>
      </c>
      <c r="G47" s="83" t="s">
        <v>139</v>
      </c>
      <c r="H47" s="20"/>
      <c r="I47" s="21">
        <v>3</v>
      </c>
      <c r="J47" s="20"/>
      <c r="K47" s="21" t="s">
        <v>98</v>
      </c>
      <c r="M47" s="21"/>
      <c r="N47" s="20"/>
      <c r="O47" s="73"/>
    </row>
    <row r="48" spans="1:15" s="5" customFormat="1" ht="32.1" customHeight="1" x14ac:dyDescent="0.75">
      <c r="A48" s="148"/>
      <c r="C48" s="51" t="s">
        <v>175</v>
      </c>
      <c r="E48" s="41" t="s">
        <v>178</v>
      </c>
      <c r="F48" s="82" t="s">
        <v>138</v>
      </c>
      <c r="G48" s="83" t="s">
        <v>139</v>
      </c>
      <c r="H48" s="20"/>
      <c r="I48" s="21">
        <v>3</v>
      </c>
      <c r="J48" s="20"/>
      <c r="K48" s="21" t="s">
        <v>98</v>
      </c>
      <c r="M48" s="25"/>
      <c r="N48" s="20"/>
      <c r="O48" s="74"/>
    </row>
    <row r="49" spans="1:15" s="5" customFormat="1" ht="32.1" customHeight="1" x14ac:dyDescent="0.75">
      <c r="A49" s="148"/>
      <c r="C49" s="12" t="s">
        <v>30</v>
      </c>
      <c r="E49" s="67" t="s">
        <v>31</v>
      </c>
      <c r="F49" s="82" t="s">
        <v>138</v>
      </c>
      <c r="G49" s="84" t="s">
        <v>139</v>
      </c>
      <c r="H49" s="20"/>
      <c r="I49" s="25">
        <v>2</v>
      </c>
      <c r="J49" s="20"/>
      <c r="K49" s="25" t="s">
        <v>98</v>
      </c>
      <c r="M49" s="25"/>
      <c r="N49" s="20"/>
      <c r="O49" s="74"/>
    </row>
    <row r="50" spans="1:15" s="5" customFormat="1" ht="32.1" customHeight="1" x14ac:dyDescent="0.75">
      <c r="A50" s="148"/>
      <c r="C50" s="56" t="s">
        <v>176</v>
      </c>
      <c r="E50" s="97" t="s">
        <v>177</v>
      </c>
      <c r="F50" s="90" t="s">
        <v>138</v>
      </c>
      <c r="G50" s="84" t="s">
        <v>139</v>
      </c>
      <c r="H50" s="20"/>
      <c r="I50" s="25">
        <v>3</v>
      </c>
      <c r="J50" s="20"/>
      <c r="K50" s="25" t="s">
        <v>98</v>
      </c>
      <c r="M50" s="25"/>
      <c r="N50" s="20"/>
      <c r="O50" s="74"/>
    </row>
    <row r="51" spans="1:15" s="5" customFormat="1" ht="32.1" customHeight="1" thickBot="1" x14ac:dyDescent="0.8">
      <c r="A51" s="53" t="s">
        <v>147</v>
      </c>
      <c r="B51" s="11"/>
      <c r="C51" s="53" t="s">
        <v>112</v>
      </c>
      <c r="D51" s="11"/>
      <c r="E51" s="57" t="s">
        <v>113</v>
      </c>
      <c r="F51" s="91"/>
      <c r="G51" s="85"/>
      <c r="H51" s="11"/>
      <c r="I51" s="55" t="s">
        <v>113</v>
      </c>
      <c r="J51" s="11"/>
      <c r="K51" s="55" t="s">
        <v>113</v>
      </c>
      <c r="L51" s="11"/>
      <c r="M51" s="55"/>
      <c r="N51" s="11"/>
      <c r="O51" s="75"/>
    </row>
    <row r="52" spans="1:15" s="5" customFormat="1" ht="32.1" customHeight="1" x14ac:dyDescent="0.75">
      <c r="A52" s="147" t="s">
        <v>106</v>
      </c>
      <c r="C52" s="39" t="s">
        <v>32</v>
      </c>
      <c r="E52" s="68" t="s">
        <v>33</v>
      </c>
      <c r="F52" s="82" t="s">
        <v>138</v>
      </c>
      <c r="G52" s="88" t="s">
        <v>139</v>
      </c>
      <c r="H52" s="20"/>
      <c r="I52" s="22">
        <v>2</v>
      </c>
      <c r="J52" s="20"/>
      <c r="K52" s="22" t="s">
        <v>96</v>
      </c>
      <c r="M52" s="24">
        <v>2</v>
      </c>
      <c r="N52" s="20"/>
      <c r="O52" s="78" t="s">
        <v>211</v>
      </c>
    </row>
    <row r="53" spans="1:15" s="5" customFormat="1" ht="32.1" customHeight="1" x14ac:dyDescent="0.75">
      <c r="A53" s="148"/>
      <c r="C53" s="51" t="s">
        <v>159</v>
      </c>
      <c r="E53" s="66" t="s">
        <v>160</v>
      </c>
      <c r="F53" s="82" t="s">
        <v>138</v>
      </c>
      <c r="G53" s="83" t="s">
        <v>139</v>
      </c>
      <c r="H53" s="20"/>
      <c r="I53" s="21">
        <v>4</v>
      </c>
      <c r="J53" s="20"/>
      <c r="K53" s="21" t="s">
        <v>97</v>
      </c>
      <c r="M53" s="21"/>
      <c r="N53" s="20"/>
      <c r="O53" s="73"/>
    </row>
    <row r="54" spans="1:15" s="5" customFormat="1" ht="32.1" customHeight="1" x14ac:dyDescent="0.75">
      <c r="A54" s="148"/>
      <c r="C54" s="56" t="s">
        <v>185</v>
      </c>
      <c r="E54" s="66" t="s">
        <v>188</v>
      </c>
      <c r="F54" s="82" t="s">
        <v>138</v>
      </c>
      <c r="G54" s="83" t="s">
        <v>139</v>
      </c>
      <c r="H54" s="20"/>
      <c r="I54" s="25">
        <v>3</v>
      </c>
      <c r="J54" s="20"/>
      <c r="K54" s="21" t="s">
        <v>97</v>
      </c>
      <c r="M54" s="25"/>
      <c r="N54" s="20"/>
      <c r="O54" s="74"/>
    </row>
    <row r="55" spans="1:15" s="5" customFormat="1" ht="32.1" customHeight="1" x14ac:dyDescent="0.75">
      <c r="A55" s="148"/>
      <c r="C55" s="56" t="s">
        <v>186</v>
      </c>
      <c r="E55" s="66" t="s">
        <v>189</v>
      </c>
      <c r="F55" s="82" t="s">
        <v>138</v>
      </c>
      <c r="G55" s="83" t="s">
        <v>139</v>
      </c>
      <c r="H55" s="20"/>
      <c r="I55" s="25">
        <v>3</v>
      </c>
      <c r="J55" s="20"/>
      <c r="K55" s="21" t="s">
        <v>97</v>
      </c>
      <c r="M55" s="25"/>
      <c r="N55" s="20"/>
      <c r="O55" s="74"/>
    </row>
    <row r="56" spans="1:15" s="5" customFormat="1" ht="32.1" customHeight="1" x14ac:dyDescent="0.75">
      <c r="A56" s="148"/>
      <c r="C56" s="51" t="s">
        <v>34</v>
      </c>
      <c r="E56" s="66" t="s">
        <v>156</v>
      </c>
      <c r="F56" s="82" t="s">
        <v>138</v>
      </c>
      <c r="G56" s="83" t="s">
        <v>139</v>
      </c>
      <c r="H56" s="20"/>
      <c r="I56" s="21">
        <v>4</v>
      </c>
      <c r="J56" s="20"/>
      <c r="K56" s="21" t="s">
        <v>98</v>
      </c>
      <c r="M56" s="21"/>
      <c r="N56" s="20"/>
      <c r="O56" s="73"/>
    </row>
    <row r="57" spans="1:15" s="5" customFormat="1" ht="32.1" customHeight="1" x14ac:dyDescent="0.75">
      <c r="A57" s="148"/>
      <c r="C57" s="12" t="s">
        <v>161</v>
      </c>
      <c r="E57" s="67" t="s">
        <v>162</v>
      </c>
      <c r="F57" s="90" t="s">
        <v>138</v>
      </c>
      <c r="G57" s="84" t="s">
        <v>139</v>
      </c>
      <c r="H57" s="20"/>
      <c r="I57" s="25">
        <v>3</v>
      </c>
      <c r="J57" s="20"/>
      <c r="K57" s="25" t="s">
        <v>98</v>
      </c>
      <c r="M57" s="25"/>
      <c r="N57" s="20"/>
      <c r="O57" s="74"/>
    </row>
    <row r="58" spans="1:15" s="5" customFormat="1" ht="32.1" customHeight="1" thickBot="1" x14ac:dyDescent="0.8">
      <c r="A58" s="53" t="s">
        <v>148</v>
      </c>
      <c r="B58" s="11"/>
      <c r="C58" s="53" t="s">
        <v>112</v>
      </c>
      <c r="D58" s="11"/>
      <c r="E58" s="57" t="s">
        <v>113</v>
      </c>
      <c r="F58" s="91"/>
      <c r="G58" s="85"/>
      <c r="H58" s="11"/>
      <c r="I58" s="55" t="s">
        <v>113</v>
      </c>
      <c r="J58" s="11"/>
      <c r="K58" s="55" t="s">
        <v>113</v>
      </c>
      <c r="M58" s="55"/>
      <c r="N58" s="23"/>
      <c r="O58" s="75"/>
    </row>
    <row r="59" spans="1:15" s="5" customFormat="1" ht="32.1" customHeight="1" x14ac:dyDescent="0.75">
      <c r="A59" s="149" t="s">
        <v>155</v>
      </c>
      <c r="C59" s="10" t="s">
        <v>35</v>
      </c>
      <c r="E59" s="68" t="s">
        <v>36</v>
      </c>
      <c r="F59" s="82" t="s">
        <v>138</v>
      </c>
      <c r="G59" s="86" t="s">
        <v>139</v>
      </c>
      <c r="H59" s="20"/>
      <c r="I59" s="22">
        <v>3</v>
      </c>
      <c r="J59" s="20"/>
      <c r="K59" s="22" t="s">
        <v>96</v>
      </c>
      <c r="M59" s="22"/>
      <c r="N59" s="20"/>
      <c r="O59" s="76"/>
    </row>
    <row r="60" spans="1:15" s="5" customFormat="1" ht="32.1" customHeight="1" x14ac:dyDescent="0.75">
      <c r="A60" s="150"/>
      <c r="C60" s="51" t="s">
        <v>37</v>
      </c>
      <c r="E60" s="66" t="s">
        <v>38</v>
      </c>
      <c r="F60" s="82" t="s">
        <v>138</v>
      </c>
      <c r="G60" s="83" t="s">
        <v>139</v>
      </c>
      <c r="H60" s="20"/>
      <c r="I60" s="21">
        <v>2</v>
      </c>
      <c r="J60" s="20"/>
      <c r="K60" s="21" t="s">
        <v>96</v>
      </c>
      <c r="M60" s="21"/>
      <c r="N60" s="20"/>
      <c r="O60" s="73"/>
    </row>
    <row r="61" spans="1:15" s="5" customFormat="1" ht="32.1" customHeight="1" x14ac:dyDescent="0.75">
      <c r="A61" s="151"/>
      <c r="C61" s="12" t="s">
        <v>39</v>
      </c>
      <c r="E61" s="67" t="s">
        <v>40</v>
      </c>
      <c r="F61" s="90" t="s">
        <v>138</v>
      </c>
      <c r="G61" s="84" t="s">
        <v>139</v>
      </c>
      <c r="H61" s="20"/>
      <c r="I61" s="25">
        <v>2</v>
      </c>
      <c r="J61" s="20"/>
      <c r="K61" s="25" t="s">
        <v>97</v>
      </c>
      <c r="M61" s="25"/>
      <c r="N61" s="20"/>
      <c r="O61" s="74"/>
    </row>
    <row r="62" spans="1:15" s="5" customFormat="1" ht="32.1" customHeight="1" thickBot="1" x14ac:dyDescent="0.8">
      <c r="A62" s="53" t="s">
        <v>149</v>
      </c>
      <c r="B62" s="11"/>
      <c r="C62" s="53" t="s">
        <v>112</v>
      </c>
      <c r="D62" s="11"/>
      <c r="E62" s="57" t="s">
        <v>113</v>
      </c>
      <c r="F62" s="91"/>
      <c r="G62" s="85"/>
      <c r="H62" s="11"/>
      <c r="I62" s="55" t="s">
        <v>113</v>
      </c>
      <c r="J62" s="11"/>
      <c r="K62" s="55" t="s">
        <v>113</v>
      </c>
      <c r="M62" s="55"/>
      <c r="N62" s="23"/>
      <c r="O62" s="75"/>
    </row>
    <row r="63" spans="1:15" s="5" customFormat="1" ht="32.1" customHeight="1" x14ac:dyDescent="0.75">
      <c r="A63" s="148" t="s">
        <v>225</v>
      </c>
      <c r="C63" s="12" t="s">
        <v>89</v>
      </c>
      <c r="E63" s="66" t="s">
        <v>87</v>
      </c>
      <c r="F63" s="82" t="s">
        <v>138</v>
      </c>
      <c r="G63" s="87" t="s">
        <v>139</v>
      </c>
      <c r="H63" s="20"/>
      <c r="I63" s="21">
        <v>3</v>
      </c>
      <c r="J63" s="20"/>
      <c r="K63" s="21" t="s">
        <v>96</v>
      </c>
      <c r="M63" s="21">
        <v>3</v>
      </c>
      <c r="N63" s="20"/>
      <c r="O63" s="73" t="s">
        <v>220</v>
      </c>
    </row>
    <row r="64" spans="1:15" s="5" customFormat="1" ht="32.1" customHeight="1" x14ac:dyDescent="0.75">
      <c r="A64" s="148"/>
      <c r="C64" s="51" t="s">
        <v>68</v>
      </c>
      <c r="E64" s="66" t="s">
        <v>69</v>
      </c>
      <c r="F64" s="82" t="s">
        <v>138</v>
      </c>
      <c r="G64" s="87" t="s">
        <v>139</v>
      </c>
      <c r="H64" s="20"/>
      <c r="I64" s="21">
        <v>3</v>
      </c>
      <c r="J64" s="20"/>
      <c r="K64" s="21" t="s">
        <v>96</v>
      </c>
      <c r="M64" s="21">
        <v>3</v>
      </c>
      <c r="N64" s="20"/>
      <c r="O64" s="73" t="s">
        <v>220</v>
      </c>
    </row>
    <row r="65" spans="1:15" s="5" customFormat="1" ht="32.1" customHeight="1" x14ac:dyDescent="0.75">
      <c r="A65" s="148"/>
      <c r="C65" s="51" t="s">
        <v>170</v>
      </c>
      <c r="E65" s="66" t="s">
        <v>167</v>
      </c>
      <c r="F65" s="82" t="s">
        <v>138</v>
      </c>
      <c r="G65" s="87" t="s">
        <v>139</v>
      </c>
      <c r="H65" s="20"/>
      <c r="I65" s="21">
        <v>2</v>
      </c>
      <c r="J65" s="20"/>
      <c r="K65" s="21" t="s">
        <v>96</v>
      </c>
      <c r="M65" s="21"/>
      <c r="N65" s="20"/>
      <c r="O65" s="73"/>
    </row>
    <row r="66" spans="1:15" s="5" customFormat="1" ht="32.1" customHeight="1" x14ac:dyDescent="0.75">
      <c r="A66" s="148"/>
      <c r="C66" s="51" t="s">
        <v>70</v>
      </c>
      <c r="E66" s="66" t="s">
        <v>71</v>
      </c>
      <c r="F66" s="82" t="s">
        <v>138</v>
      </c>
      <c r="G66" s="87" t="s">
        <v>139</v>
      </c>
      <c r="H66" s="20"/>
      <c r="I66" s="21">
        <v>2</v>
      </c>
      <c r="J66" s="20"/>
      <c r="K66" s="21" t="s">
        <v>96</v>
      </c>
      <c r="M66" s="21"/>
      <c r="N66" s="20"/>
      <c r="O66" s="73"/>
    </row>
    <row r="67" spans="1:15" s="5" customFormat="1" ht="32.1" customHeight="1" x14ac:dyDescent="0.75">
      <c r="A67" s="148"/>
      <c r="C67" s="51" t="s">
        <v>66</v>
      </c>
      <c r="E67" s="66" t="s">
        <v>67</v>
      </c>
      <c r="F67" s="82" t="s">
        <v>138</v>
      </c>
      <c r="G67" s="87" t="s">
        <v>139</v>
      </c>
      <c r="H67" s="20"/>
      <c r="I67" s="21">
        <v>2</v>
      </c>
      <c r="J67" s="20"/>
      <c r="K67" s="21" t="s">
        <v>97</v>
      </c>
      <c r="M67" s="21"/>
      <c r="N67" s="20"/>
      <c r="O67" s="73"/>
    </row>
    <row r="68" spans="1:15" s="5" customFormat="1" ht="32.1" customHeight="1" x14ac:dyDescent="0.75">
      <c r="A68" s="148"/>
      <c r="C68" s="12" t="s">
        <v>90</v>
      </c>
      <c r="E68" s="67" t="s">
        <v>88</v>
      </c>
      <c r="F68" s="90" t="s">
        <v>138</v>
      </c>
      <c r="G68" s="84" t="s">
        <v>139</v>
      </c>
      <c r="H68" s="20"/>
      <c r="I68" s="25">
        <v>3</v>
      </c>
      <c r="J68" s="20"/>
      <c r="K68" s="25" t="s">
        <v>97</v>
      </c>
      <c r="M68" s="18">
        <v>3</v>
      </c>
      <c r="N68" s="20"/>
      <c r="O68" s="77" t="s">
        <v>220</v>
      </c>
    </row>
    <row r="69" spans="1:15" s="5" customFormat="1" ht="32.1" customHeight="1" thickBot="1" x14ac:dyDescent="0.8">
      <c r="A69" s="53" t="s">
        <v>150</v>
      </c>
      <c r="B69" s="11"/>
      <c r="C69" s="53" t="s">
        <v>112</v>
      </c>
      <c r="D69" s="11"/>
      <c r="E69" s="57" t="s">
        <v>113</v>
      </c>
      <c r="F69" s="91"/>
      <c r="G69" s="85"/>
      <c r="H69" s="11"/>
      <c r="I69" s="55" t="s">
        <v>113</v>
      </c>
      <c r="J69" s="11"/>
      <c r="K69" s="55" t="s">
        <v>113</v>
      </c>
      <c r="M69" s="55"/>
      <c r="N69" s="23"/>
      <c r="O69" s="75"/>
    </row>
    <row r="70" spans="1:15" s="5" customFormat="1" ht="32.1" customHeight="1" x14ac:dyDescent="0.75">
      <c r="A70" s="147" t="s">
        <v>107</v>
      </c>
      <c r="C70" s="116" t="s">
        <v>58</v>
      </c>
      <c r="E70" s="121" t="s">
        <v>59</v>
      </c>
      <c r="F70" s="118" t="s">
        <v>138</v>
      </c>
      <c r="G70" s="86" t="s">
        <v>139</v>
      </c>
      <c r="H70" s="20"/>
      <c r="I70" s="24">
        <v>2</v>
      </c>
      <c r="J70" s="20"/>
      <c r="K70" s="24" t="s">
        <v>96</v>
      </c>
      <c r="M70" s="24">
        <v>2</v>
      </c>
      <c r="N70" s="20"/>
      <c r="O70" s="73" t="s">
        <v>220</v>
      </c>
    </row>
    <row r="71" spans="1:15" s="5" customFormat="1" ht="32.1" customHeight="1" x14ac:dyDescent="0.75">
      <c r="A71" s="148"/>
      <c r="C71" s="56" t="s">
        <v>45</v>
      </c>
      <c r="E71" s="122" t="s">
        <v>46</v>
      </c>
      <c r="F71" s="119" t="s">
        <v>138</v>
      </c>
      <c r="G71" s="87" t="s">
        <v>139</v>
      </c>
      <c r="H71" s="20"/>
      <c r="I71" s="24">
        <v>2</v>
      </c>
      <c r="J71" s="20"/>
      <c r="K71" s="24" t="s">
        <v>96</v>
      </c>
      <c r="M71" s="21"/>
      <c r="N71" s="20"/>
      <c r="O71" s="73"/>
    </row>
    <row r="72" spans="1:15" s="5" customFormat="1" ht="32.1" customHeight="1" x14ac:dyDescent="0.75">
      <c r="A72" s="148"/>
      <c r="C72" s="51" t="s">
        <v>60</v>
      </c>
      <c r="E72" s="122" t="s">
        <v>61</v>
      </c>
      <c r="F72" s="119" t="s">
        <v>138</v>
      </c>
      <c r="G72" s="87" t="s">
        <v>139</v>
      </c>
      <c r="H72" s="20"/>
      <c r="I72" s="24">
        <v>2</v>
      </c>
      <c r="J72" s="20"/>
      <c r="K72" s="24" t="s">
        <v>96</v>
      </c>
      <c r="M72" s="21">
        <v>2</v>
      </c>
      <c r="N72" s="20"/>
      <c r="O72" s="73" t="s">
        <v>220</v>
      </c>
    </row>
    <row r="73" spans="1:15" s="5" customFormat="1" ht="32.1" customHeight="1" x14ac:dyDescent="0.75">
      <c r="A73" s="148"/>
      <c r="C73" s="51" t="s">
        <v>43</v>
      </c>
      <c r="E73" s="122" t="s">
        <v>44</v>
      </c>
      <c r="F73" s="119" t="s">
        <v>138</v>
      </c>
      <c r="G73" s="87" t="s">
        <v>139</v>
      </c>
      <c r="H73" s="20"/>
      <c r="I73" s="24">
        <v>2</v>
      </c>
      <c r="J73" s="20"/>
      <c r="K73" s="24" t="s">
        <v>96</v>
      </c>
      <c r="M73" s="24">
        <v>2</v>
      </c>
      <c r="N73" s="20"/>
      <c r="O73" s="78" t="s">
        <v>216</v>
      </c>
    </row>
    <row r="74" spans="1:15" s="5" customFormat="1" ht="32.1" customHeight="1" x14ac:dyDescent="0.75">
      <c r="A74" s="148"/>
      <c r="C74" s="51" t="s">
        <v>171</v>
      </c>
      <c r="E74" s="122" t="s">
        <v>169</v>
      </c>
      <c r="F74" s="119" t="s">
        <v>138</v>
      </c>
      <c r="G74" s="87" t="s">
        <v>139</v>
      </c>
      <c r="H74" s="20"/>
      <c r="I74" s="24">
        <v>2</v>
      </c>
      <c r="J74" s="20"/>
      <c r="K74" s="24" t="s">
        <v>96</v>
      </c>
      <c r="M74" s="21"/>
      <c r="N74" s="20"/>
      <c r="O74" s="73"/>
    </row>
    <row r="75" spans="1:15" s="5" customFormat="1" ht="32.1" customHeight="1" x14ac:dyDescent="0.75">
      <c r="A75" s="148"/>
      <c r="C75" s="51" t="s">
        <v>191</v>
      </c>
      <c r="E75" s="122" t="s">
        <v>179</v>
      </c>
      <c r="F75" s="119" t="s">
        <v>138</v>
      </c>
      <c r="G75" s="87" t="s">
        <v>139</v>
      </c>
      <c r="H75" s="20"/>
      <c r="I75" s="24">
        <v>3</v>
      </c>
      <c r="J75" s="20"/>
      <c r="K75" s="24" t="s">
        <v>97</v>
      </c>
      <c r="M75" s="21"/>
      <c r="N75" s="20"/>
      <c r="O75" s="78"/>
    </row>
    <row r="76" spans="1:15" s="5" customFormat="1" ht="32.1" customHeight="1" x14ac:dyDescent="0.75">
      <c r="A76" s="148"/>
      <c r="C76" s="51" t="s">
        <v>50</v>
      </c>
      <c r="E76" s="122" t="s">
        <v>51</v>
      </c>
      <c r="F76" s="119" t="s">
        <v>138</v>
      </c>
      <c r="G76" s="87" t="s">
        <v>139</v>
      </c>
      <c r="H76" s="20"/>
      <c r="I76" s="24">
        <v>2</v>
      </c>
      <c r="J76" s="20"/>
      <c r="K76" s="24" t="s">
        <v>97</v>
      </c>
      <c r="M76" s="21"/>
      <c r="N76" s="20"/>
      <c r="O76" s="78"/>
    </row>
    <row r="77" spans="1:15" s="5" customFormat="1" ht="32.1" customHeight="1" x14ac:dyDescent="0.75">
      <c r="A77" s="148"/>
      <c r="C77" s="56" t="s">
        <v>52</v>
      </c>
      <c r="E77" s="122" t="s">
        <v>53</v>
      </c>
      <c r="F77" s="119" t="s">
        <v>138</v>
      </c>
      <c r="G77" s="87" t="s">
        <v>139</v>
      </c>
      <c r="H77" s="20"/>
      <c r="I77" s="21">
        <v>2</v>
      </c>
      <c r="J77" s="20"/>
      <c r="K77" s="21" t="s">
        <v>97</v>
      </c>
      <c r="M77" s="21"/>
      <c r="N77" s="20"/>
      <c r="O77" s="78"/>
    </row>
    <row r="78" spans="1:15" s="5" customFormat="1" ht="32.1" customHeight="1" x14ac:dyDescent="0.75">
      <c r="A78" s="148"/>
      <c r="C78" s="51" t="s">
        <v>48</v>
      </c>
      <c r="E78" s="122" t="s">
        <v>49</v>
      </c>
      <c r="F78" s="119" t="s">
        <v>138</v>
      </c>
      <c r="G78" s="87" t="s">
        <v>139</v>
      </c>
      <c r="H78" s="20"/>
      <c r="I78" s="24">
        <v>2</v>
      </c>
      <c r="J78" s="20"/>
      <c r="K78" s="24" t="s">
        <v>97</v>
      </c>
      <c r="M78" s="21"/>
      <c r="N78" s="20"/>
      <c r="O78" s="78"/>
    </row>
    <row r="79" spans="1:15" s="5" customFormat="1" ht="32.1" customHeight="1" x14ac:dyDescent="0.75">
      <c r="A79" s="148"/>
      <c r="C79" s="51" t="s">
        <v>56</v>
      </c>
      <c r="E79" s="122" t="s">
        <v>57</v>
      </c>
      <c r="F79" s="119" t="s">
        <v>138</v>
      </c>
      <c r="G79" s="87" t="s">
        <v>139</v>
      </c>
      <c r="H79" s="20"/>
      <c r="I79" s="21">
        <v>2</v>
      </c>
      <c r="J79" s="20"/>
      <c r="K79" s="21" t="s">
        <v>97</v>
      </c>
      <c r="M79" s="21"/>
      <c r="N79" s="20"/>
      <c r="O79" s="78"/>
    </row>
    <row r="80" spans="1:15" s="5" customFormat="1" ht="32.1" customHeight="1" x14ac:dyDescent="0.75">
      <c r="A80" s="148"/>
      <c r="C80" s="51" t="s">
        <v>41</v>
      </c>
      <c r="D80" s="117"/>
      <c r="E80" s="122" t="s">
        <v>42</v>
      </c>
      <c r="F80" s="119" t="s">
        <v>138</v>
      </c>
      <c r="G80" s="87" t="s">
        <v>139</v>
      </c>
      <c r="H80" s="42"/>
      <c r="I80" s="21">
        <v>3</v>
      </c>
      <c r="J80" s="42"/>
      <c r="K80" s="21" t="s">
        <v>97</v>
      </c>
      <c r="M80" s="21">
        <v>3</v>
      </c>
      <c r="N80" s="20"/>
      <c r="O80" s="78" t="s">
        <v>215</v>
      </c>
    </row>
    <row r="81" spans="1:15" s="5" customFormat="1" ht="32.1" customHeight="1" x14ac:dyDescent="0.75">
      <c r="A81" s="148"/>
      <c r="C81" s="56" t="s">
        <v>84</v>
      </c>
      <c r="E81" s="95" t="s">
        <v>83</v>
      </c>
      <c r="F81" s="120" t="s">
        <v>138</v>
      </c>
      <c r="G81" s="84" t="s">
        <v>139</v>
      </c>
      <c r="H81" s="20"/>
      <c r="I81" s="25">
        <v>4</v>
      </c>
      <c r="J81" s="20"/>
      <c r="K81" s="25" t="s">
        <v>97</v>
      </c>
      <c r="M81" s="18">
        <v>4</v>
      </c>
      <c r="N81" s="20"/>
      <c r="O81" s="77" t="s">
        <v>219</v>
      </c>
    </row>
    <row r="82" spans="1:15" s="5" customFormat="1" ht="32.1" hidden="1" customHeight="1" x14ac:dyDescent="0.75">
      <c r="A82" s="94"/>
      <c r="C82" s="60" t="s">
        <v>47</v>
      </c>
      <c r="E82" s="69" t="s">
        <v>143</v>
      </c>
      <c r="F82" s="91" t="s">
        <v>138</v>
      </c>
      <c r="G82" s="89" t="s">
        <v>139</v>
      </c>
      <c r="H82" s="20"/>
      <c r="I82" s="61">
        <v>2</v>
      </c>
      <c r="J82" s="20"/>
      <c r="K82" s="61" t="s">
        <v>96</v>
      </c>
      <c r="M82" s="61"/>
      <c r="N82" s="20"/>
      <c r="O82" s="79"/>
    </row>
    <row r="83" spans="1:15" s="5" customFormat="1" ht="32.1" customHeight="1" thickBot="1" x14ac:dyDescent="0.8">
      <c r="A83" s="53" t="s">
        <v>144</v>
      </c>
      <c r="B83" s="11"/>
      <c r="C83" s="50" t="s">
        <v>112</v>
      </c>
      <c r="D83" s="11"/>
      <c r="E83" s="57" t="s">
        <v>113</v>
      </c>
      <c r="F83" s="91"/>
      <c r="G83" s="85"/>
      <c r="H83" s="11"/>
      <c r="I83" s="55" t="s">
        <v>113</v>
      </c>
      <c r="J83" s="11"/>
      <c r="K83" s="55" t="s">
        <v>113</v>
      </c>
      <c r="M83" s="55">
        <v>1</v>
      </c>
      <c r="N83" s="23"/>
      <c r="O83" s="75" t="s">
        <v>222</v>
      </c>
    </row>
    <row r="84" spans="1:15" s="5" customFormat="1" ht="32.1" customHeight="1" x14ac:dyDescent="0.75">
      <c r="A84" s="147" t="s">
        <v>108</v>
      </c>
      <c r="C84" s="52" t="s">
        <v>85</v>
      </c>
      <c r="E84" s="121" t="s">
        <v>86</v>
      </c>
      <c r="F84" s="118" t="s">
        <v>138</v>
      </c>
      <c r="G84" s="87" t="s">
        <v>139</v>
      </c>
      <c r="H84" s="20"/>
      <c r="I84" s="21">
        <v>2</v>
      </c>
      <c r="J84" s="20"/>
      <c r="K84" s="21" t="s">
        <v>96</v>
      </c>
      <c r="M84" s="22">
        <v>2</v>
      </c>
      <c r="N84" s="20"/>
      <c r="O84" s="76" t="s">
        <v>220</v>
      </c>
    </row>
    <row r="85" spans="1:15" s="5" customFormat="1" ht="32.1" customHeight="1" x14ac:dyDescent="0.75">
      <c r="A85" s="148"/>
      <c r="C85" s="92" t="s">
        <v>163</v>
      </c>
      <c r="E85" s="122" t="s">
        <v>164</v>
      </c>
      <c r="F85" s="119" t="s">
        <v>138</v>
      </c>
      <c r="G85" s="87" t="s">
        <v>139</v>
      </c>
      <c r="H85" s="20"/>
      <c r="I85" s="24">
        <v>2</v>
      </c>
      <c r="J85" s="20"/>
      <c r="K85" s="24" t="s">
        <v>96</v>
      </c>
      <c r="M85" s="24"/>
      <c r="N85" s="20"/>
      <c r="O85" s="78"/>
    </row>
    <row r="86" spans="1:15" s="5" customFormat="1" ht="32.1" customHeight="1" x14ac:dyDescent="0.75">
      <c r="A86" s="148"/>
      <c r="C86" s="51" t="s">
        <v>64</v>
      </c>
      <c r="E86" s="122" t="s">
        <v>65</v>
      </c>
      <c r="F86" s="119" t="s">
        <v>138</v>
      </c>
      <c r="G86" s="87" t="s">
        <v>139</v>
      </c>
      <c r="H86" s="20"/>
      <c r="I86" s="21">
        <v>3</v>
      </c>
      <c r="J86" s="20"/>
      <c r="K86" s="21" t="s">
        <v>96</v>
      </c>
      <c r="M86" s="24"/>
      <c r="N86" s="20"/>
      <c r="O86" s="78"/>
    </row>
    <row r="87" spans="1:15" s="5" customFormat="1" ht="32.1" customHeight="1" x14ac:dyDescent="0.75">
      <c r="A87" s="148"/>
      <c r="C87" s="51" t="s">
        <v>72</v>
      </c>
      <c r="E87" s="122" t="s">
        <v>73</v>
      </c>
      <c r="F87" s="119" t="s">
        <v>138</v>
      </c>
      <c r="G87" s="87" t="s">
        <v>139</v>
      </c>
      <c r="H87" s="20"/>
      <c r="I87" s="21">
        <v>3</v>
      </c>
      <c r="J87" s="20"/>
      <c r="K87" s="21" t="s">
        <v>96</v>
      </c>
      <c r="M87" s="24">
        <v>3</v>
      </c>
      <c r="N87" s="20"/>
      <c r="O87" s="78" t="s">
        <v>221</v>
      </c>
    </row>
    <row r="88" spans="1:15" s="5" customFormat="1" ht="32.1" customHeight="1" x14ac:dyDescent="0.75">
      <c r="A88" s="148"/>
      <c r="C88" s="92" t="s">
        <v>187</v>
      </c>
      <c r="E88" s="122" t="s">
        <v>205</v>
      </c>
      <c r="F88" s="119" t="s">
        <v>138</v>
      </c>
      <c r="G88" s="87" t="s">
        <v>139</v>
      </c>
      <c r="H88" s="20"/>
      <c r="I88" s="21">
        <v>2</v>
      </c>
      <c r="J88" s="20"/>
      <c r="K88" s="21" t="s">
        <v>96</v>
      </c>
      <c r="M88" s="24"/>
      <c r="N88" s="20"/>
      <c r="O88" s="78"/>
    </row>
    <row r="89" spans="1:15" s="5" customFormat="1" ht="32.1" customHeight="1" x14ac:dyDescent="0.75">
      <c r="A89" s="148"/>
      <c r="C89" s="51" t="s">
        <v>54</v>
      </c>
      <c r="E89" s="122" t="s">
        <v>55</v>
      </c>
      <c r="F89" s="119" t="s">
        <v>138</v>
      </c>
      <c r="G89" s="87" t="s">
        <v>139</v>
      </c>
      <c r="H89" s="20"/>
      <c r="I89" s="21">
        <v>2</v>
      </c>
      <c r="J89" s="20"/>
      <c r="K89" s="21" t="s">
        <v>97</v>
      </c>
      <c r="M89" s="24">
        <v>2</v>
      </c>
      <c r="N89" s="20"/>
      <c r="O89" s="78" t="s">
        <v>224</v>
      </c>
    </row>
    <row r="90" spans="1:15" s="5" customFormat="1" ht="32.1" customHeight="1" x14ac:dyDescent="0.75">
      <c r="A90" s="148"/>
      <c r="C90" s="56" t="s">
        <v>62</v>
      </c>
      <c r="E90" s="123" t="s">
        <v>63</v>
      </c>
      <c r="F90" s="120" t="s">
        <v>138</v>
      </c>
      <c r="G90" s="87" t="s">
        <v>139</v>
      </c>
      <c r="H90" s="20"/>
      <c r="I90" s="25">
        <v>2</v>
      </c>
      <c r="J90" s="20"/>
      <c r="K90" s="25" t="s">
        <v>97</v>
      </c>
      <c r="M90" s="21">
        <v>2</v>
      </c>
      <c r="N90" s="20"/>
      <c r="O90" s="73" t="s">
        <v>220</v>
      </c>
    </row>
    <row r="91" spans="1:15" s="5" customFormat="1" ht="31.35" customHeight="1" x14ac:dyDescent="0.75">
      <c r="A91" s="148"/>
      <c r="C91" s="56" t="s">
        <v>165</v>
      </c>
      <c r="E91" s="122" t="s">
        <v>166</v>
      </c>
      <c r="F91" s="119" t="s">
        <v>138</v>
      </c>
      <c r="G91" s="87" t="s">
        <v>139</v>
      </c>
      <c r="H91" s="20"/>
      <c r="I91" s="25">
        <v>2</v>
      </c>
      <c r="J91" s="20"/>
      <c r="K91" s="25" t="s">
        <v>97</v>
      </c>
      <c r="M91" s="21">
        <v>2</v>
      </c>
      <c r="N91" s="20"/>
      <c r="O91" s="73" t="s">
        <v>218</v>
      </c>
    </row>
    <row r="92" spans="1:15" s="5" customFormat="1" ht="31.35" customHeight="1" x14ac:dyDescent="0.75">
      <c r="A92" s="166"/>
      <c r="C92" s="56" t="s">
        <v>172</v>
      </c>
      <c r="E92" s="95" t="s">
        <v>168</v>
      </c>
      <c r="F92" s="120" t="s">
        <v>138</v>
      </c>
      <c r="G92" s="84" t="s">
        <v>139</v>
      </c>
      <c r="H92" s="20"/>
      <c r="I92" s="25">
        <v>2</v>
      </c>
      <c r="J92" s="20"/>
      <c r="K92" s="25" t="s">
        <v>98</v>
      </c>
      <c r="M92" s="64"/>
      <c r="N92" s="20"/>
      <c r="O92" s="93"/>
    </row>
    <row r="93" spans="1:15" s="5" customFormat="1" ht="32.1" customHeight="1" thickBot="1" x14ac:dyDescent="0.8">
      <c r="A93" s="102" t="s">
        <v>151</v>
      </c>
      <c r="C93" s="53" t="s">
        <v>112</v>
      </c>
      <c r="E93" s="57" t="s">
        <v>113</v>
      </c>
      <c r="F93" s="91"/>
      <c r="G93" s="85"/>
      <c r="H93" s="20"/>
      <c r="I93" s="55" t="s">
        <v>113</v>
      </c>
      <c r="J93" s="26"/>
      <c r="K93" s="55" t="s">
        <v>113</v>
      </c>
      <c r="M93" s="55"/>
      <c r="N93" s="23"/>
      <c r="O93" s="75"/>
    </row>
    <row r="94" spans="1:15" s="5" customFormat="1" ht="32.1" customHeight="1" x14ac:dyDescent="0.75">
      <c r="A94" s="147" t="s">
        <v>124</v>
      </c>
      <c r="C94" s="34" t="s">
        <v>114</v>
      </c>
      <c r="E94" s="58" t="s">
        <v>119</v>
      </c>
      <c r="F94" s="20"/>
      <c r="H94" s="20"/>
      <c r="I94" s="48">
        <v>6</v>
      </c>
      <c r="J94" s="43"/>
      <c r="K94" s="35" t="s">
        <v>96</v>
      </c>
      <c r="M94" s="22"/>
      <c r="N94" s="20"/>
      <c r="O94" s="73"/>
    </row>
    <row r="95" spans="1:15" s="5" customFormat="1" ht="32.1" customHeight="1" x14ac:dyDescent="0.75">
      <c r="A95" s="148"/>
      <c r="C95" s="34" t="s">
        <v>115</v>
      </c>
      <c r="E95" s="59" t="s">
        <v>120</v>
      </c>
      <c r="F95" s="20"/>
      <c r="H95" s="20"/>
      <c r="I95" s="36">
        <v>6</v>
      </c>
      <c r="J95" s="43"/>
      <c r="K95" s="36" t="s">
        <v>96</v>
      </c>
      <c r="M95" s="21"/>
      <c r="N95" s="20"/>
      <c r="O95" s="73"/>
    </row>
    <row r="96" spans="1:15" s="5" customFormat="1" ht="32.1" customHeight="1" x14ac:dyDescent="0.75">
      <c r="A96" s="148"/>
      <c r="C96" s="34" t="s">
        <v>116</v>
      </c>
      <c r="E96" s="59" t="s">
        <v>121</v>
      </c>
      <c r="F96" s="20"/>
      <c r="H96" s="20"/>
      <c r="I96" s="36">
        <v>6</v>
      </c>
      <c r="J96" s="43"/>
      <c r="K96" s="36" t="s">
        <v>97</v>
      </c>
      <c r="M96" s="21"/>
      <c r="N96" s="20"/>
      <c r="O96" s="73"/>
    </row>
    <row r="97" spans="1:15" s="5" customFormat="1" ht="32.1" customHeight="1" x14ac:dyDescent="0.75">
      <c r="A97" s="148"/>
      <c r="C97" s="34" t="s">
        <v>127</v>
      </c>
      <c r="E97" s="59" t="s">
        <v>129</v>
      </c>
      <c r="F97" s="20"/>
      <c r="H97" s="20"/>
      <c r="I97" s="36">
        <v>6</v>
      </c>
      <c r="J97" s="43"/>
      <c r="K97" s="36" t="s">
        <v>96</v>
      </c>
      <c r="M97" s="21"/>
      <c r="N97" s="20"/>
      <c r="O97" s="73"/>
    </row>
    <row r="98" spans="1:15" s="5" customFormat="1" ht="32.1" customHeight="1" x14ac:dyDescent="0.75">
      <c r="A98" s="148"/>
      <c r="C98" s="34" t="s">
        <v>128</v>
      </c>
      <c r="E98" s="59" t="s">
        <v>130</v>
      </c>
      <c r="F98" s="20"/>
      <c r="H98" s="20"/>
      <c r="I98" s="36">
        <v>6</v>
      </c>
      <c r="J98" s="43"/>
      <c r="K98" s="36" t="s">
        <v>96</v>
      </c>
      <c r="M98" s="21"/>
      <c r="N98" s="20"/>
      <c r="O98" s="73"/>
    </row>
    <row r="99" spans="1:15" s="5" customFormat="1" ht="32.1" customHeight="1" x14ac:dyDescent="0.75">
      <c r="A99" s="148"/>
      <c r="C99" s="34" t="s">
        <v>117</v>
      </c>
      <c r="E99" s="59" t="s">
        <v>122</v>
      </c>
      <c r="F99" s="20"/>
      <c r="H99" s="20"/>
      <c r="I99" s="36">
        <v>6</v>
      </c>
      <c r="J99" s="43"/>
      <c r="K99" s="36" t="s">
        <v>97</v>
      </c>
      <c r="M99" s="21"/>
      <c r="N99" s="20"/>
      <c r="O99" s="73"/>
    </row>
    <row r="100" spans="1:15" s="5" customFormat="1" ht="32.1" customHeight="1" x14ac:dyDescent="0.75">
      <c r="A100" s="148"/>
      <c r="C100" s="49" t="s">
        <v>118</v>
      </c>
      <c r="E100" s="59" t="s">
        <v>123</v>
      </c>
      <c r="F100" s="20"/>
      <c r="H100" s="20"/>
      <c r="I100" s="36">
        <v>6</v>
      </c>
      <c r="J100" s="43"/>
      <c r="K100" s="54" t="s">
        <v>98</v>
      </c>
      <c r="M100" s="21"/>
      <c r="N100" s="20"/>
      <c r="O100" s="73"/>
    </row>
    <row r="101" spans="1:15" s="5" customFormat="1" ht="32.1" customHeight="1" x14ac:dyDescent="0.75">
      <c r="A101" s="96"/>
      <c r="C101" s="98" t="s">
        <v>180</v>
      </c>
      <c r="E101" s="59" t="s">
        <v>182</v>
      </c>
      <c r="F101" s="20"/>
      <c r="H101" s="20"/>
      <c r="I101" s="36">
        <v>6</v>
      </c>
      <c r="J101" s="43"/>
      <c r="K101" s="36" t="s">
        <v>97</v>
      </c>
      <c r="M101" s="21"/>
      <c r="N101" s="20"/>
      <c r="O101" s="73"/>
    </row>
    <row r="102" spans="1:15" s="5" customFormat="1" ht="32.1" customHeight="1" x14ac:dyDescent="0.75">
      <c r="A102" s="96"/>
      <c r="C102" s="98" t="s">
        <v>181</v>
      </c>
      <c r="E102" s="139" t="s">
        <v>183</v>
      </c>
      <c r="F102" s="20"/>
      <c r="H102" s="20"/>
      <c r="I102" s="99">
        <v>6</v>
      </c>
      <c r="J102" s="43"/>
      <c r="K102" s="99" t="s">
        <v>97</v>
      </c>
      <c r="M102" s="18"/>
      <c r="N102" s="20"/>
      <c r="O102" s="77"/>
    </row>
    <row r="103" spans="1:15" s="5" customFormat="1" ht="32.1" customHeight="1" thickBot="1" x14ac:dyDescent="0.8">
      <c r="A103" s="53" t="s">
        <v>152</v>
      </c>
      <c r="C103" s="53" t="s">
        <v>112</v>
      </c>
      <c r="E103" s="128" t="s">
        <v>113</v>
      </c>
      <c r="F103" s="20"/>
      <c r="H103" s="20"/>
      <c r="I103" s="55" t="s">
        <v>113</v>
      </c>
      <c r="J103" s="26"/>
      <c r="K103" s="55" t="s">
        <v>113</v>
      </c>
      <c r="M103" s="55"/>
      <c r="N103" s="23"/>
      <c r="O103" s="75"/>
    </row>
    <row r="104" spans="1:15" s="5" customFormat="1" ht="32.1" customHeight="1" thickBot="1" x14ac:dyDescent="0.8">
      <c r="A104" s="27"/>
      <c r="C104" s="27"/>
      <c r="E104" s="38"/>
      <c r="F104" s="20"/>
      <c r="G104" s="26"/>
      <c r="H104" s="20"/>
      <c r="I104" s="26"/>
      <c r="J104" s="26"/>
      <c r="K104" s="26"/>
      <c r="M104" s="26"/>
      <c r="N104" s="20"/>
      <c r="O104" s="80"/>
    </row>
    <row r="105" spans="1:15" s="5" customFormat="1" ht="32.1" customHeight="1" thickBot="1" x14ac:dyDescent="0.8">
      <c r="A105" s="70" t="s">
        <v>133</v>
      </c>
      <c r="C105" s="27"/>
      <c r="E105" s="38"/>
      <c r="F105" s="20"/>
      <c r="G105" s="26"/>
      <c r="H105" s="20"/>
      <c r="I105" s="26"/>
      <c r="J105" s="26"/>
      <c r="K105" s="26"/>
      <c r="M105" s="47">
        <v>8</v>
      </c>
      <c r="N105" s="20"/>
      <c r="O105" s="162"/>
    </row>
    <row r="106" spans="1:15" s="5" customFormat="1" ht="32.1" customHeight="1" thickBot="1" x14ac:dyDescent="0.8">
      <c r="A106" s="27"/>
      <c r="C106" s="29"/>
      <c r="E106" s="28"/>
      <c r="F106" s="20"/>
      <c r="G106" s="26"/>
      <c r="H106" s="20"/>
      <c r="I106" s="26"/>
      <c r="J106" s="26"/>
      <c r="K106" s="26"/>
      <c r="M106" s="26"/>
      <c r="N106" s="20"/>
      <c r="O106" s="163"/>
    </row>
    <row r="107" spans="1:15" s="31" customFormat="1" ht="84.6" customHeight="1" thickBot="1" x14ac:dyDescent="0.55000000000000004">
      <c r="A107" s="142" t="s">
        <v>173</v>
      </c>
      <c r="B107" s="143"/>
      <c r="C107" s="143"/>
      <c r="D107" s="143"/>
      <c r="E107" s="143"/>
      <c r="F107" s="143"/>
      <c r="G107" s="143"/>
      <c r="H107" s="143"/>
      <c r="I107" s="143"/>
      <c r="J107" s="143"/>
      <c r="K107" s="144"/>
      <c r="L107" s="37"/>
      <c r="M107" s="81">
        <f>SUM(M11:M105)</f>
        <v>63</v>
      </c>
      <c r="N107" s="30"/>
      <c r="O107" s="100">
        <f ca="1">TODAY()</f>
        <v>46239</v>
      </c>
    </row>
    <row r="108" spans="1:15" s="5" customFormat="1" ht="20.399999999999999" x14ac:dyDescent="0.75">
      <c r="A108" s="1"/>
      <c r="B108" s="6"/>
      <c r="C108" s="6"/>
      <c r="D108" s="6"/>
      <c r="E108" s="65"/>
      <c r="F108" s="6"/>
      <c r="G108" s="7"/>
      <c r="H108" s="6"/>
      <c r="I108" s="7"/>
      <c r="J108" s="7"/>
      <c r="K108" s="7"/>
      <c r="L108" s="6"/>
      <c r="M108" s="7"/>
      <c r="N108" s="6"/>
      <c r="O108" s="7"/>
    </row>
  </sheetData>
  <mergeCells count="20">
    <mergeCell ref="O105:O106"/>
    <mergeCell ref="M8:M9"/>
    <mergeCell ref="O8:O9"/>
    <mergeCell ref="A94:A100"/>
    <mergeCell ref="A8:A9"/>
    <mergeCell ref="A84:A92"/>
    <mergeCell ref="A70:A81"/>
    <mergeCell ref="A107:K107"/>
    <mergeCell ref="C8:C9"/>
    <mergeCell ref="A52:A57"/>
    <mergeCell ref="A59:A61"/>
    <mergeCell ref="A63:A68"/>
    <mergeCell ref="K8:K9"/>
    <mergeCell ref="A46:A50"/>
    <mergeCell ref="I8:I9"/>
    <mergeCell ref="E8:G9"/>
    <mergeCell ref="A10:A16"/>
    <mergeCell ref="A18:A23"/>
    <mergeCell ref="A25:A32"/>
    <mergeCell ref="A34:A44"/>
  </mergeCells>
  <phoneticPr fontId="0" type="noConversion"/>
  <conditionalFormatting sqref="M11:M105">
    <cfRule type="containsText" dxfId="0" priority="1" operator="containsText" text="*">
      <formula>NOT(ISERROR(SEARCH("*",M11)))</formula>
    </cfRule>
  </conditionalFormatting>
  <hyperlinks>
    <hyperlink ref="E98" r:id="rId1" xr:uid="{001C81B5-C4A6-4D74-BD7E-80248034D3C9}"/>
    <hyperlink ref="E97" r:id="rId2" xr:uid="{C969DCB1-F175-435D-AA0E-F12239896C15}"/>
    <hyperlink ref="E100" r:id="rId3" xr:uid="{8EEF348F-011C-4EFD-BCF6-ABDC13045FA4}"/>
    <hyperlink ref="E96" r:id="rId4" display="Projekt 3" xr:uid="{6DC2C4BD-7C93-46E5-A3B7-6D9307654F87}"/>
    <hyperlink ref="E99" r:id="rId5" display="Projekt 4" xr:uid="{7468B0C2-97DA-4280-9745-6043A4C21E35}"/>
    <hyperlink ref="E95" r:id="rId6" display="Projekt 2" xr:uid="{EDD9A725-7D28-496B-A5DD-1596DEA2521A}"/>
    <hyperlink ref="E94" r:id="rId7" display="Projekt 1" xr:uid="{7CDDF239-722B-4BC6-8158-6448E71C2E7B}"/>
    <hyperlink ref="G47" r:id="rId8" xr:uid="{68631185-4C84-489D-9A6F-261ECB89139E}"/>
    <hyperlink ref="G52" r:id="rId9" xr:uid="{0DF93EB6-7BB3-4C9A-A949-3E0B844CE904}"/>
    <hyperlink ref="G60" r:id="rId10" display="Interaktive Visualisierung" xr:uid="{8B725EB8-0578-4039-8F52-06080ECA1B37}"/>
    <hyperlink ref="G61" r:id="rId11" display="Visual Analytics" xr:uid="{5FBF8B2D-81E2-4ED6-8B86-BF9FA818E560}"/>
    <hyperlink ref="G66" r:id="rId12" display="Digital kommunizieren" xr:uid="{74AE127B-5C4F-4C65-BE3D-D2ACCE66EEBC}"/>
    <hyperlink ref="G64" r:id="rId13" display="Präsentieren" xr:uid="{3C32BDB5-CB4A-4B23-9CDD-F8784CFD91BD}"/>
    <hyperlink ref="G67" r:id="rId14" display="Storytelling mit Daten" xr:uid="{17035330-FD69-42DC-9E9F-7A316F45659C}"/>
    <hyperlink ref="G82" r:id="rId15" display="Gesellschaft und Algorithmen" xr:uid="{9BF0428F-9E16-4AB7-81C6-BC8AA3E2CD85}"/>
    <hyperlink ref="G48" r:id="rId16" display="Fortgeschrittene Themen in Machine Learning" xr:uid="{B80E3CF2-A14B-42E2-8D72-59D49A7632DF}"/>
    <hyperlink ref="G59" r:id="rId17" display="Grundkompetenz Datenvisualisierung" xr:uid="{BD2829F0-BD2E-4F20-B40A-D0FDD332B7D4}"/>
    <hyperlink ref="G63" r:id="rId18" display="Grundkompetenz Schreiben" xr:uid="{BE9469E1-F2FB-4134-B0C8-5F56CDCF8EAC}"/>
    <hyperlink ref="G68" r:id="rId19" display="Vertiefung Schreiben" xr:uid="{800C1E2D-FE71-4EAD-B3F9-817826CD50D2}"/>
    <hyperlink ref="G46" r:id="rId20" xr:uid="{1C0CAB19-7AAF-44BF-95E3-3C0C2C28352D}"/>
    <hyperlink ref="F47" r:id="rId21" xr:uid="{6AD26174-0A55-4F94-A273-17D67FE2DFF7}"/>
    <hyperlink ref="F46" r:id="rId22" xr:uid="{D2FCF87C-0F37-4048-9597-5D46D2363673}"/>
    <hyperlink ref="F48" r:id="rId23" xr:uid="{73A23CD1-B2BA-45B8-9B58-59390D9439FE}"/>
    <hyperlink ref="F52" r:id="rId24" xr:uid="{783F804B-78B2-4202-A561-63D120006C9C}"/>
    <hyperlink ref="F59" r:id="rId25" xr:uid="{FDA1E1B4-D5D9-4849-8AD0-986E608C9299}"/>
    <hyperlink ref="F60" r:id="rId26" xr:uid="{DEF8D765-8754-498C-8C21-0FA15A0614D2}"/>
    <hyperlink ref="F61" r:id="rId27" xr:uid="{D91912F3-C34F-4B3E-BC62-1096DDED64DD}"/>
    <hyperlink ref="F63" r:id="rId28" xr:uid="{45E3BD2B-3696-483C-A40A-E8928B596266}"/>
    <hyperlink ref="F68" r:id="rId29" xr:uid="{A976F0EC-0D16-45D9-997E-4E3CC86D0442}"/>
    <hyperlink ref="F66" r:id="rId30" xr:uid="{7DAAF6D1-0847-42D6-9752-0E2BC7F558C8}"/>
    <hyperlink ref="F64" r:id="rId31" xr:uid="{2A91966C-B3BF-4909-A1DA-9E3DDF905200}"/>
    <hyperlink ref="F67" r:id="rId32" xr:uid="{09450A2B-5325-4155-A2CE-EA73EE978A8A}"/>
    <hyperlink ref="F53" r:id="rId33" xr:uid="{478B2B56-94C1-41AC-977A-C69D4DEC4DCD}"/>
    <hyperlink ref="F57" r:id="rId34" xr:uid="{F4955C8F-4E53-457B-8290-C161074AD10A}"/>
    <hyperlink ref="G53" r:id="rId35" xr:uid="{7ABC6E6D-E8D2-4A9F-A126-02488EE991C2}"/>
    <hyperlink ref="G57" r:id="rId36" xr:uid="{DE61FB31-D937-4797-899E-39F34ACBAEA6}"/>
    <hyperlink ref="G65" r:id="rId37" display="Module description" xr:uid="{5841D573-A4A6-4E70-9B6A-902571FB77C6}"/>
    <hyperlink ref="F65" r:id="rId38" xr:uid="{96B5BB48-318F-45C8-867D-A41952936C13}"/>
    <hyperlink ref="G49" r:id="rId39" display="Reinforcement Learning" xr:uid="{4372F7A8-5E96-4E07-A223-B820771BA9C7}"/>
    <hyperlink ref="F49" r:id="rId40" xr:uid="{D95CA246-CA7E-4142-A9F8-A3C169A12CA2}"/>
    <hyperlink ref="F50" r:id="rId41" xr:uid="{6DA9BC2D-1467-44E7-B743-8FC1796F0DD0}"/>
    <hyperlink ref="G50" r:id="rId42" xr:uid="{D477D649-9C74-4181-B543-94578CA95809}"/>
    <hyperlink ref="G56" r:id="rId43" display="Natural Language Processing" xr:uid="{C300FF06-9D0B-40ED-887B-40621D66480F}"/>
    <hyperlink ref="F56" r:id="rId44" xr:uid="{0AEC7937-317B-4332-8E79-5417CC163DC6}"/>
    <hyperlink ref="G55" r:id="rId45" xr:uid="{665386CC-DA22-465C-88B4-341BA6C756F9}"/>
    <hyperlink ref="G54" r:id="rId46" xr:uid="{09260AFC-F89E-4AB0-B3A4-113DF33F2476}"/>
    <hyperlink ref="F54" r:id="rId47" xr:uid="{B1F1616F-5C4E-421B-AF70-EA59CF0BB060}"/>
    <hyperlink ref="F55" r:id="rId48" xr:uid="{D671A248-529E-441D-B28D-CF7682DA7582}"/>
    <hyperlink ref="E101" r:id="rId49" xr:uid="{6D643107-6741-42DB-A58A-258460D5043C}"/>
    <hyperlink ref="E102" r:id="rId50" xr:uid="{71B748A2-4121-421F-8AC7-CCDD853E28F6}"/>
    <hyperlink ref="G13" r:id="rId51" display="Mathematische Grundlagen" xr:uid="{9970892C-0DDE-4307-AE6E-06B021949030}"/>
    <hyperlink ref="G15" r:id="rId52" display="Vertiefende Themen der Analysis" xr:uid="{9BD09658-E90F-4696-83F2-2FCE21BD3AFA}"/>
    <hyperlink ref="G12" r:id="rId53" display="Grundlagen der Linearen Algebra" xr:uid="{3E3BA1BD-3455-4E87-AB85-413F40DD85C9}"/>
    <hyperlink ref="G14" r:id="rId54" display="Anwendungen der Linearen Algebra" xr:uid="{06023D46-09B9-4FA2-A88B-754ABFA281EB}"/>
    <hyperlink ref="G16" r:id="rId55" display="Optimierung für Machine Learning" xr:uid="{C9A41E6E-676D-417B-A679-B269499C7E84}"/>
    <hyperlink ref="G11" r:id="rId56" display="Grundalgen der Analysis" xr:uid="{76E29D51-AB0B-4A0D-BDAE-2F50DCC750C9}"/>
    <hyperlink ref="F11" r:id="rId57" xr:uid="{6BC4BC04-CCE4-41DF-AA8F-CC5F557C2916}"/>
    <hyperlink ref="F12" r:id="rId58" xr:uid="{808D858F-46B0-477E-A813-6C8FE67C6EAA}"/>
    <hyperlink ref="F13" r:id="rId59" xr:uid="{40EFD343-EBA4-4B3C-80C9-23A3C4CDF6CB}"/>
    <hyperlink ref="F14" r:id="rId60" xr:uid="{9E5DFDA3-368E-433F-BD5C-0FC7E77F427B}"/>
    <hyperlink ref="F15" r:id="rId61" xr:uid="{4B2C555E-2E00-4AB2-90C8-797D3DD9D325}"/>
    <hyperlink ref="F16" r:id="rId62" xr:uid="{C8EA1F2C-F836-4A3A-A4F1-FC11EA38ACFD}"/>
    <hyperlink ref="F10" r:id="rId63" xr:uid="{C6F305AE-64B2-46AB-83C7-79CE7B4AED92}"/>
    <hyperlink ref="G10" r:id="rId64" xr:uid="{9BDA6BCC-5060-4DF9-B88C-2A374E1D7DEB}"/>
    <hyperlink ref="G19" r:id="rId65" display="Wahrscheinlichkeitsrechnen" xr:uid="{5EEBD03F-D748-4F83-83BD-88AEE15A94AE}"/>
    <hyperlink ref="G22" r:id="rId66" display="Bayes’sche Datenanalyse" xr:uid="{820827E5-ADB4-48C5-AB23-691533BDC0EE}"/>
    <hyperlink ref="G18" r:id="rId67" display="Explorative Datenanalyse" xr:uid="{A9912614-9749-4B87-AA02-D0E07A016874}"/>
    <hyperlink ref="G21" r:id="rId68" display="Statistisches Lernen" xr:uid="{6087889A-6B34-40D8-9C17-D54134C94D51}"/>
    <hyperlink ref="G23" r:id="rId69" display="Stochastische Prozesse und Zeitreihen" xr:uid="{BFAF0A39-64F7-47C2-A247-4F0477FAFEB3}"/>
    <hyperlink ref="F18" r:id="rId70" xr:uid="{169289B0-6679-4638-AE8F-83A779532970}"/>
    <hyperlink ref="F19" r:id="rId71" xr:uid="{6A793BC3-070C-44D7-B59A-CB9FF140A82F}"/>
    <hyperlink ref="F21" r:id="rId72" xr:uid="{85D58BCB-8DF1-48EF-8880-7895758FE0A8}"/>
    <hyperlink ref="F22" r:id="rId73" xr:uid="{62833ADA-76E2-434D-A7AB-4CD1617A6849}"/>
    <hyperlink ref="F23" r:id="rId74" xr:uid="{6F95692F-BCFB-4FCA-9AA4-260DE3773E9F}"/>
    <hyperlink ref="F20" r:id="rId75" xr:uid="{422FF973-5F7D-44B0-AE89-3D6910E6A54A}"/>
    <hyperlink ref="G20" r:id="rId76" xr:uid="{B006BEA2-D3A5-43CB-9824-64DA87C8B241}"/>
    <hyperlink ref="G25" r:id="rId77" display="Grundkompetenz Programmieren" xr:uid="{FBA15BF0-39EC-41B4-A0C8-48DDB221EAF9}"/>
    <hyperlink ref="G32" r:id="rId78" display="Webtechnologien" xr:uid="{517FCB62-116F-4434-AA2B-1A81C3B0B7B4}"/>
    <hyperlink ref="G31" r:id="rId79" display="Softwarekonstruktion" xr:uid="{B6504712-C7BA-40EA-9CF4-8AC001A3A70E}"/>
    <hyperlink ref="G29" r:id="rId80" display="Objektorientiert und Funktional Programmieren" xr:uid="{5428CCE4-435B-47D6-85EF-DC14A14D0AC2}"/>
    <hyperlink ref="G26" r:id="rId81" display="Programmieren in R" xr:uid="{52B57E40-AFB0-4CDF-A956-D63F52AEF2EE}"/>
    <hyperlink ref="G28" r:id="rId82" xr:uid="{C1802083-E3B0-4006-9C5B-32D8BF89EBA7}"/>
    <hyperlink ref="F25" r:id="rId83" xr:uid="{30107D13-3A20-4287-B187-D2194A960745}"/>
    <hyperlink ref="F26" r:id="rId84" xr:uid="{2A9080E9-9D0D-483E-9489-4591C21B8CC8}"/>
    <hyperlink ref="F28" r:id="rId85" xr:uid="{68F353C3-63C2-4F92-9B55-02C0407F3E7B}"/>
    <hyperlink ref="F29" r:id="rId86" xr:uid="{4458ACBE-3582-4DED-94CE-95C982509F88}"/>
    <hyperlink ref="F31" r:id="rId87" xr:uid="{801176D2-4AA6-4661-8412-31BC1BCA11E9}"/>
    <hyperlink ref="F32" r:id="rId88" xr:uid="{5F020320-7C32-4F83-9C8A-338BDC5EFB90}"/>
    <hyperlink ref="F30" r:id="rId89" xr:uid="{8783C10D-C9B0-4E24-A05A-08BF1C367A97}"/>
    <hyperlink ref="C30" r:id="rId90" xr:uid="{52E4E3C9-B937-4FD2-941E-3E6451B0C8B0}"/>
    <hyperlink ref="G30" r:id="rId91" xr:uid="{5813AA8F-4BC8-4D36-A646-8010F785AA66}"/>
    <hyperlink ref="G27" r:id="rId92" xr:uid="{B8949D75-7E3C-479B-8DF0-8DA77FE764D7}"/>
    <hyperlink ref="F27" r:id="rId93" xr:uid="{4A5C01BE-873F-4A91-B2FC-D7ADF29DEE67}"/>
    <hyperlink ref="G34" r:id="rId94" display="Grundkompetenz Datenbanken " xr:uid="{73DEEB86-FD10-4D93-96EC-ADD67FA4C437}"/>
    <hyperlink ref="G38" r:id="rId95" display="Datenbankdesign und Implementierung" xr:uid="{CF027F85-5C20-461A-A2D2-4A07F99AEDFA}"/>
    <hyperlink ref="G39" r:id="rId96" display="IoT Datenbeschaffung " xr:uid="{9E1D6DE6-26C3-43AB-8480-207A21C52AAC}"/>
    <hyperlink ref="G41" r:id="rId97" display="Cloud Infrastructure and Computing" xr:uid="{8A4F3DDE-9EFE-40CA-8A0A-23E017F3A5BB}"/>
    <hyperlink ref="G37" r:id="rId98" display="Data Wrangling" xr:uid="{338FD154-F15F-4113-92C4-860451C6BC0F}"/>
    <hyperlink ref="G40" r:id="rId99" xr:uid="{A03F2E14-FD64-43F6-8E49-C1CE4A8179FA}"/>
    <hyperlink ref="G35" r:id="rId100" xr:uid="{06A3B51A-9C11-4F64-9799-1B24F237E113}"/>
    <hyperlink ref="F44" r:id="rId101" xr:uid="{7ABA150B-424F-479B-B09D-2CDB8B1DCC36}"/>
    <hyperlink ref="G44" r:id="rId102" xr:uid="{5FBE2B58-B77A-4308-858E-53B72751BA5B}"/>
    <hyperlink ref="F34" r:id="rId103" xr:uid="{8199C8C3-0555-42CB-8D66-FC760B25F90F}"/>
    <hyperlink ref="F35" r:id="rId104" xr:uid="{D7469093-17E2-4C5A-9BF3-0C7BEBDF7669}"/>
    <hyperlink ref="F37" r:id="rId105" xr:uid="{EFA6931F-4387-439C-B790-C18CB54A72CB}"/>
    <hyperlink ref="F38" r:id="rId106" xr:uid="{A00BE45C-222C-454A-99A3-4AD8D1E779A6}"/>
    <hyperlink ref="F39" r:id="rId107" xr:uid="{1C7D27F9-5598-4B07-8CD2-3DE26A59D029}"/>
    <hyperlink ref="F40" r:id="rId108" xr:uid="{0717A89C-8273-482C-89FC-9DBD8CBED44C}"/>
    <hyperlink ref="F41" r:id="rId109" xr:uid="{BB1DF376-461E-4A7B-ABBA-2B72ECCE5FC7}"/>
    <hyperlink ref="F36" r:id="rId110" xr:uid="{E3B2968D-9488-4614-A994-B1A632CEE14C}"/>
    <hyperlink ref="G36" r:id="rId111" xr:uid="{04926406-C2DE-499F-871E-CFA92A601D46}"/>
    <hyperlink ref="G42" r:id="rId112" xr:uid="{FA255B3B-1F2E-4C33-A90F-2B0106EE528A}"/>
    <hyperlink ref="F43" r:id="rId113" xr:uid="{48CBFB05-50E9-4E43-9490-2A006287372E}"/>
    <hyperlink ref="G43" r:id="rId114" xr:uid="{D96EDA51-ABFB-440E-BDA0-EB788F455CEE}"/>
    <hyperlink ref="F42" r:id="rId115" xr:uid="{20E75020-6117-4A0F-81AC-125C85CE27F5}"/>
    <hyperlink ref="G71" r:id="rId116" display="Informatikrecht" xr:uid="{A56235C1-910F-472D-95EE-9FD087E98102}"/>
    <hyperlink ref="G78" r:id="rId117" display="Datenrecht" xr:uid="{65268F8C-5A1B-418F-8882-8BEE7F7CB7A3}"/>
    <hyperlink ref="G79" r:id="rId118" display="Politik, Geschichte, Kultur" xr:uid="{2D794DA1-DAD9-4743-AA75-47A2CD438EF3}"/>
    <hyperlink ref="G70" r:id="rId119" display="Informationskompetenz" xr:uid="{ECFD6B6B-692E-4C24-A017-5905DAA13B4E}"/>
    <hyperlink ref="G72" r:id="rId120" display="Wissenschaftliches Vorgehen" xr:uid="{88C444E8-7CD7-4F55-9EB5-21ADD2CEB4DC}"/>
    <hyperlink ref="G80" r:id="rId121" display="Betriebswirtschaftliche Grundkompetenz" xr:uid="{515C03B2-6B95-4701-87FA-2950115B219F}"/>
    <hyperlink ref="G73" r:id="rId122" display="Datengestützte Geschäftsmodelle" xr:uid="{8B1061C6-674A-4795-AB84-2A69A54D7116}"/>
    <hyperlink ref="G74" r:id="rId123" xr:uid="{D2D27EE4-80AB-4A9A-8FF9-06BC768E1A63}"/>
    <hyperlink ref="G76" r:id="rId124" display="Ethisches Reflektieren" xr:uid="{447C8B8D-F33B-4E31-A902-4060531427E0}"/>
    <hyperlink ref="G77" r:id="rId125" display="Ethisches Implementieren" xr:uid="{C8429E80-2967-49B9-949C-6F7BD727E805}"/>
    <hyperlink ref="G75" r:id="rId126" xr:uid="{B9F01225-9675-4C58-B3EB-FA835E068636}"/>
    <hyperlink ref="G81" r:id="rId127" xr:uid="{D97D6FA4-43DC-40F9-94F6-26AE4E430A15}"/>
    <hyperlink ref="F70" r:id="rId128" xr:uid="{9643A985-5946-4304-834E-41D7508E2FBD}"/>
    <hyperlink ref="F71" r:id="rId129" xr:uid="{0E3B7FC3-58BB-4052-8904-263AA811522D}"/>
    <hyperlink ref="F72" r:id="rId130" xr:uid="{10955E3E-B42A-41E4-8A16-B50ECB7B1FFF}"/>
    <hyperlink ref="F73" r:id="rId131" xr:uid="{B91CD091-CF04-4B92-B742-16F1E67DE4D8}"/>
    <hyperlink ref="F74" r:id="rId132" xr:uid="{18650918-C170-433E-9E7D-CCBD59D2D1E4}"/>
    <hyperlink ref="F75" r:id="rId133" xr:uid="{3DEA0604-C0E2-4343-A687-0582849A6E48}"/>
    <hyperlink ref="F76" r:id="rId134" xr:uid="{41EB77ED-97F3-40D3-83AE-D73AAC1B13EE}"/>
    <hyperlink ref="F77" r:id="rId135" xr:uid="{C2BE9321-1667-4901-A835-7B96D006A12F}"/>
    <hyperlink ref="F78" r:id="rId136" xr:uid="{9CBA1E6C-5B0C-4E70-A83F-92978ED16E36}"/>
    <hyperlink ref="F79" r:id="rId137" xr:uid="{915A5D75-7F45-455C-8AD8-D2AE12F1D617}"/>
    <hyperlink ref="F80" r:id="rId138" xr:uid="{667ABF81-0DD0-430E-AAAC-757C35A0C2F2}"/>
    <hyperlink ref="F81" r:id="rId139" xr:uid="{C7DE5B23-43DD-4081-8E9D-3E00502232B5}"/>
    <hyperlink ref="G86" r:id="rId140" display="Digitales Portfolio" xr:uid="{D9DA56AE-FCB2-4B1F-B0CB-937AF6A99158}"/>
    <hyperlink ref="G89" r:id="rId141" display="Interkulturelle Kompetenz" xr:uid="{1E94D3B5-A36B-4BC3-96C5-C31CBA8840E1}"/>
    <hyperlink ref="G87" r:id="rId142" display="Kollaboration in Teams" xr:uid="{DC370061-F5A7-42AC-A382-D0B6EE65ADE0}"/>
    <hyperlink ref="G84" r:id="rId143" display="Lernwerkstatt" xr:uid="{6379E04F-4C9B-4C64-9B8F-ACF186646EA7}"/>
    <hyperlink ref="G90" r:id="rId144" display="Persönliches Wissensmanagement" xr:uid="{387E5CA9-4592-4870-A3E8-2598960D6619}"/>
    <hyperlink ref="G85" r:id="rId145" xr:uid="{BAB798E5-6A5A-472D-BD59-F7FDE00CA2EF}"/>
    <hyperlink ref="G91" r:id="rId146" xr:uid="{26175AD5-D05E-4979-90C4-2BC410745DB5}"/>
    <hyperlink ref="G92" r:id="rId147" xr:uid="{2A78D7D5-4022-47CE-9980-7DFF7F510827}"/>
    <hyperlink ref="G88" r:id="rId148" xr:uid="{9F739EC7-CC0C-4DD8-89D8-51FD8F5C04B5}"/>
    <hyperlink ref="F84" r:id="rId149" xr:uid="{F317BCF1-C85A-4717-9F50-BEBA7659ECF2}"/>
    <hyperlink ref="F85" r:id="rId150" xr:uid="{2B6D0A84-3FE5-47B2-BA39-C961F6D569BD}"/>
    <hyperlink ref="F86" r:id="rId151" xr:uid="{CE67E746-EE20-499B-967E-BD5F1D1B96F1}"/>
    <hyperlink ref="F87" r:id="rId152" xr:uid="{55D54EEA-31BD-4D22-9229-67EC2B9CD65A}"/>
    <hyperlink ref="F88" r:id="rId153" xr:uid="{BACC1E94-1783-461D-A030-AA4ADB45AA84}"/>
    <hyperlink ref="F89" r:id="rId154" xr:uid="{19406280-1362-4917-8062-B8A754FA23C5}"/>
    <hyperlink ref="F90" r:id="rId155" xr:uid="{C7BA3350-B8CB-4DFB-9677-739A4250287B}"/>
    <hyperlink ref="F91" r:id="rId156" xr:uid="{9284BD9B-A8DB-485C-AA02-63FAA3FDA081}"/>
    <hyperlink ref="F92" r:id="rId157" xr:uid="{CF0D5B6C-E06D-49BD-BBCF-8637447CA312}"/>
  </hyperlinks>
  <printOptions horizontalCentered="1" verticalCentered="1"/>
  <pageMargins left="0.6692913385826772" right="0.59055118110236227" top="1.299212598425197" bottom="0.59055118110236227" header="0.39370078740157483" footer="0.11811023622047245"/>
  <pageSetup paperSize="8" scale="30" fitToWidth="0" fitToHeight="0" orientation="portrait" r:id="rId158"/>
  <headerFooter scaleWithDoc="0" alignWithMargins="0">
    <oddHeader>&amp;L&amp;24
&amp;G</oddHeader>
    <oddFooter xml:space="preserve">&amp;L
&amp;R
</oddFooter>
  </headerFooter>
  <legacyDrawingHF r:id="rId15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73bd15b-2cca-4757-8aa3-8d514d0b4e9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06ABC6BD4E66B4AAFCD36436A6247B9" ma:contentTypeVersion="10" ma:contentTypeDescription="Ein neues Dokument erstellen." ma:contentTypeScope="" ma:versionID="2638e36855868e32d10ab2681cd1f7eb">
  <xsd:schema xmlns:xsd="http://www.w3.org/2001/XMLSchema" xmlns:xs="http://www.w3.org/2001/XMLSchema" xmlns:p="http://schemas.microsoft.com/office/2006/metadata/properties" xmlns:ns2="473bd15b-2cca-4757-8aa3-8d514d0b4e9d" targetNamespace="http://schemas.microsoft.com/office/2006/metadata/properties" ma:root="true" ma:fieldsID="b65dce8ad785531e0a0c3c6bbbd68870" ns2:_="">
    <xsd:import namespace="473bd15b-2cca-4757-8aa3-8d514d0b4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3bd15b-2cca-4757-8aa3-8d514d0b4e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ildmarkierungen" ma:readOnly="false" ma:fieldId="{5cf76f15-5ced-4ddc-b409-7134ff3c332f}" ma:taxonomyMulti="true" ma:sspId="7873907d-d049-4c15-acb6-7b8f2d6df6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AC6879-F1C6-42A9-BD5D-39585E57D5C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9B2C471-7021-4470-91A8-C1D44657FC43}">
  <ds:schemaRefs>
    <ds:schemaRef ds:uri="dd49dec1-d265-4322-ac27-3df96e73c9f4"/>
    <ds:schemaRef ds:uri="http://schemas.microsoft.com/office/2006/documentManagement/types"/>
    <ds:schemaRef ds:uri="http://purl.org/dc/dcmitype/"/>
    <ds:schemaRef ds:uri="http://purl.org/dc/terms/"/>
    <ds:schemaRef ds:uri="http://schemas.microsoft.com/office/infopath/2007/PartnerControls"/>
    <ds:schemaRef ds:uri="8f1b262f-e637-4b3a-8f1b-3c6f2837f5ae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473bd15b-2cca-4757-8aa3-8d514d0b4e9d"/>
  </ds:schemaRefs>
</ds:datastoreItem>
</file>

<file path=customXml/itemProps3.xml><?xml version="1.0" encoding="utf-8"?>
<ds:datastoreItem xmlns:ds="http://schemas.openxmlformats.org/officeDocument/2006/customXml" ds:itemID="{6E4E97FF-455F-456C-9998-A11D90A27F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3bd15b-2cca-4757-8aa3-8d514d0b4e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Dossierbewertung</vt:lpstr>
      <vt:lpstr>Dossierbewertung!Druckbereich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Chantal Zwick</dc:creator>
  <cp:lastModifiedBy>Chantal Zwick</cp:lastModifiedBy>
  <cp:lastPrinted>2026-06-17T11:29:15Z</cp:lastPrinted>
  <dcterms:created xsi:type="dcterms:W3CDTF">1999-08-23T05:31:21Z</dcterms:created>
  <dcterms:modified xsi:type="dcterms:W3CDTF">2026-08-05T04:34:09Z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0x010100F06ABC6BD4E66B4AAFCD36436A6247B9</vt:lpwstr>
  </property>
  <property fmtid="{D5CDD505-2E9C-101B-9397-08002B2CF9AE}" pid="3" name="MediaServiceImageTags">
    <vt:lpwstr/>
  </property>
</Properties>
</file>